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C\Documents\Excel dossier\Projects\"/>
    </mc:Choice>
  </mc:AlternateContent>
  <xr:revisionPtr revIDLastSave="0" documentId="13_ncr:1_{2B9DDE8A-1C96-4804-BB92-8F88C111FED0}" xr6:coauthVersionLast="47" xr6:coauthVersionMax="47" xr10:uidLastSave="{00000000-0000-0000-0000-000000000000}"/>
  <bookViews>
    <workbookView xWindow="-110" yWindow="-110" windowWidth="19420" windowHeight="10300" activeTab="1" xr2:uid="{00000000-000D-0000-FFFF-FFFF00000000}"/>
  </bookViews>
  <sheets>
    <sheet name="Sheet1" sheetId="3" r:id="rId1"/>
    <sheet name="Dashboard" sheetId="4" r:id="rId2"/>
    <sheet name="Inventory Data" sheetId="1" r:id="rId3"/>
  </sheets>
  <definedNames>
    <definedName name="_xlnm._FilterDatabase" localSheetId="2" hidden="1">'Inventory Data'!$A$1:$M$501</definedName>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E29" i="3" l="1"/>
  <c r="E28" i="3"/>
  <c r="E27" i="3"/>
</calcChain>
</file>

<file path=xl/sharedStrings.xml><?xml version="1.0" encoding="utf-8"?>
<sst xmlns="http://schemas.openxmlformats.org/spreadsheetml/2006/main" count="2564" uniqueCount="557">
  <si>
    <t>ID</t>
  </si>
  <si>
    <t>Date</t>
  </si>
  <si>
    <t>Month</t>
  </si>
  <si>
    <t>Product</t>
  </si>
  <si>
    <t>Beginning Stock</t>
  </si>
  <si>
    <t>Stock In</t>
  </si>
  <si>
    <t>Stock Out</t>
  </si>
  <si>
    <t>Ending Stock</t>
  </si>
  <si>
    <t>Location</t>
  </si>
  <si>
    <t>Unit Cost (MAD)</t>
  </si>
  <si>
    <t>Total Sales (MAD)</t>
  </si>
  <si>
    <t>Reorder Level</t>
  </si>
  <si>
    <t>Supplier</t>
  </si>
  <si>
    <t>P00120</t>
  </si>
  <si>
    <t>Jan</t>
  </si>
  <si>
    <t>Tablet</t>
  </si>
  <si>
    <t>WH-4</t>
  </si>
  <si>
    <t>TechSupply</t>
  </si>
  <si>
    <t>P00337</t>
  </si>
  <si>
    <t>Printer</t>
  </si>
  <si>
    <t>WH-1</t>
  </si>
  <si>
    <t>SmartDistrib</t>
  </si>
  <si>
    <t>P00415</t>
  </si>
  <si>
    <t>Desk</t>
  </si>
  <si>
    <t>OfficePro</t>
  </si>
  <si>
    <t>P00045</t>
  </si>
  <si>
    <t>Phone</t>
  </si>
  <si>
    <t>Atlas Electronics</t>
  </si>
  <si>
    <t>P00291</t>
  </si>
  <si>
    <t>Mouse</t>
  </si>
  <si>
    <t>WH-3</t>
  </si>
  <si>
    <t>P00113</t>
  </si>
  <si>
    <t>P00457</t>
  </si>
  <si>
    <t>WH-5</t>
  </si>
  <si>
    <t>P00390</t>
  </si>
  <si>
    <t>P00136</t>
  </si>
  <si>
    <t>P00179</t>
  </si>
  <si>
    <t>P00370</t>
  </si>
  <si>
    <t>Keyboard</t>
  </si>
  <si>
    <t>P00345</t>
  </si>
  <si>
    <t>Headphones</t>
  </si>
  <si>
    <t>P00090</t>
  </si>
  <si>
    <t>WH-2</t>
  </si>
  <si>
    <t>P00494</t>
  </si>
  <si>
    <t>P00342</t>
  </si>
  <si>
    <t>Laptop</t>
  </si>
  <si>
    <t>P00168</t>
  </si>
  <si>
    <t>P00001</t>
  </si>
  <si>
    <t>P00389</t>
  </si>
  <si>
    <t>P00414</t>
  </si>
  <si>
    <t>BureauPlus</t>
  </si>
  <si>
    <t>P00151</t>
  </si>
  <si>
    <t>P00102</t>
  </si>
  <si>
    <t>Chair</t>
  </si>
  <si>
    <t>P00239</t>
  </si>
  <si>
    <t>Monitor</t>
  </si>
  <si>
    <t>P00091</t>
  </si>
  <si>
    <t>P00383</t>
  </si>
  <si>
    <t>P00403</t>
  </si>
  <si>
    <t>P00318</t>
  </si>
  <si>
    <t>P00240</t>
  </si>
  <si>
    <t>P00296</t>
  </si>
  <si>
    <t>P00377</t>
  </si>
  <si>
    <t>P00054</t>
  </si>
  <si>
    <t>P00064</t>
  </si>
  <si>
    <t>P00411</t>
  </si>
  <si>
    <t>P00051</t>
  </si>
  <si>
    <t>P00231</t>
  </si>
  <si>
    <t>P00251</t>
  </si>
  <si>
    <t>P00249</t>
  </si>
  <si>
    <t>P00112</t>
  </si>
  <si>
    <t>P00475</t>
  </si>
  <si>
    <t>P00378</t>
  </si>
  <si>
    <t>P00243</t>
  </si>
  <si>
    <t>P00490</t>
  </si>
  <si>
    <t>P00290</t>
  </si>
  <si>
    <t>P00134</t>
  </si>
  <si>
    <t>P00192</t>
  </si>
  <si>
    <t>P00114</t>
  </si>
  <si>
    <t>P00012</t>
  </si>
  <si>
    <t>P00464</t>
  </si>
  <si>
    <t>P00183</t>
  </si>
  <si>
    <t>Feb</t>
  </si>
  <si>
    <t>P00439</t>
  </si>
  <si>
    <t>P00248</t>
  </si>
  <si>
    <t>P00459</t>
  </si>
  <si>
    <t>P00149</t>
  </si>
  <si>
    <t>P00041</t>
  </si>
  <si>
    <t>P00097</t>
  </si>
  <si>
    <t>P00184</t>
  </si>
  <si>
    <t>P00115</t>
  </si>
  <si>
    <t>P00402</t>
  </si>
  <si>
    <t>P00267</t>
  </si>
  <si>
    <t>P00437</t>
  </si>
  <si>
    <t>P00446</t>
  </si>
  <si>
    <t>P00462</t>
  </si>
  <si>
    <t>P00224</t>
  </si>
  <si>
    <t>P00280</t>
  </si>
  <si>
    <t>P00126</t>
  </si>
  <si>
    <t>P00220</t>
  </si>
  <si>
    <t>P00002</t>
  </si>
  <si>
    <t>P00452</t>
  </si>
  <si>
    <t>P00272</t>
  </si>
  <si>
    <t>P00476</t>
  </si>
  <si>
    <t>P00132</t>
  </si>
  <si>
    <t>P00127</t>
  </si>
  <si>
    <t>P00289</t>
  </si>
  <si>
    <t>P00190</t>
  </si>
  <si>
    <t>P00223</t>
  </si>
  <si>
    <t>P00006</t>
  </si>
  <si>
    <t>P00372</t>
  </si>
  <si>
    <t>P00406</t>
  </si>
  <si>
    <t>P00382</t>
  </si>
  <si>
    <t>P00150</t>
  </si>
  <si>
    <t>P00009</t>
  </si>
  <si>
    <t>P00315</t>
  </si>
  <si>
    <t>P00388</t>
  </si>
  <si>
    <t>P00257</t>
  </si>
  <si>
    <t>P00020</t>
  </si>
  <si>
    <t>P00387</t>
  </si>
  <si>
    <t>P00209</t>
  </si>
  <si>
    <t>P00033</t>
  </si>
  <si>
    <t>P00313</t>
  </si>
  <si>
    <t>P00486</t>
  </si>
  <si>
    <t>P00094</t>
  </si>
  <si>
    <t>P00016</t>
  </si>
  <si>
    <t>P00428</t>
  </si>
  <si>
    <t>P00418</t>
  </si>
  <si>
    <t>P00170</t>
  </si>
  <si>
    <t>Mar</t>
  </si>
  <si>
    <t>P00341</t>
  </si>
  <si>
    <t>P00487</t>
  </si>
  <si>
    <t>P00096</t>
  </si>
  <si>
    <t>P00135</t>
  </si>
  <si>
    <t>P00492</t>
  </si>
  <si>
    <t>P00495</t>
  </si>
  <si>
    <t>P00310</t>
  </si>
  <si>
    <t>P00007</t>
  </si>
  <si>
    <t>P00092</t>
  </si>
  <si>
    <t>P00176</t>
  </si>
  <si>
    <t>P00230</t>
  </si>
  <si>
    <t>P00030</t>
  </si>
  <si>
    <t>P00424</t>
  </si>
  <si>
    <t>P00499</t>
  </si>
  <si>
    <t>P00204</t>
  </si>
  <si>
    <t>P00368</t>
  </si>
  <si>
    <t>P00381</t>
  </si>
  <si>
    <t>P00401</t>
  </si>
  <si>
    <t>P00197</t>
  </si>
  <si>
    <t>P00349</t>
  </si>
  <si>
    <t>P00014</t>
  </si>
  <si>
    <t>P00284</t>
  </si>
  <si>
    <t>P00178</t>
  </si>
  <si>
    <t>P00352</t>
  </si>
  <si>
    <t>P00056</t>
  </si>
  <si>
    <t>P00047</t>
  </si>
  <si>
    <t>P00442</t>
  </si>
  <si>
    <t>P00283</t>
  </si>
  <si>
    <t>P00269</t>
  </si>
  <si>
    <t>P00288</t>
  </si>
  <si>
    <t>P00443</t>
  </si>
  <si>
    <t>P00236</t>
  </si>
  <si>
    <t>P00380</t>
  </si>
  <si>
    <t>P00276</t>
  </si>
  <si>
    <t>P00124</t>
  </si>
  <si>
    <t>P00086</t>
  </si>
  <si>
    <t>P00153</t>
  </si>
  <si>
    <t>P00213</t>
  </si>
  <si>
    <t>Apr</t>
  </si>
  <si>
    <t>P00075</t>
  </si>
  <si>
    <t>P00129</t>
  </si>
  <si>
    <t>P00088</t>
  </si>
  <si>
    <t>P00034</t>
  </si>
  <si>
    <t>P00319</t>
  </si>
  <si>
    <t>P00416</t>
  </si>
  <si>
    <t>P00497</t>
  </si>
  <si>
    <t>P00423</t>
  </si>
  <si>
    <t>P00344</t>
  </si>
  <si>
    <t>P00031</t>
  </si>
  <si>
    <t>P00104</t>
  </si>
  <si>
    <t>P00008</t>
  </si>
  <si>
    <t>P00228</t>
  </si>
  <si>
    <t>P00364</t>
  </si>
  <si>
    <t>P00095</t>
  </si>
  <si>
    <t>P00234</t>
  </si>
  <si>
    <t>P00432</t>
  </si>
  <si>
    <t>P00013</t>
  </si>
  <si>
    <t>P00177</t>
  </si>
  <si>
    <t>P00187</t>
  </si>
  <si>
    <t>P00173</t>
  </si>
  <si>
    <t>P00203</t>
  </si>
  <si>
    <t>P00085</t>
  </si>
  <si>
    <t>P00028</t>
  </si>
  <si>
    <t>P00237</t>
  </si>
  <si>
    <t>P00270</t>
  </si>
  <si>
    <t>P00314</t>
  </si>
  <si>
    <t>P00165</t>
  </si>
  <si>
    <t>P00072</t>
  </si>
  <si>
    <t>P00111</t>
  </si>
  <si>
    <t>P00448</t>
  </si>
  <si>
    <t>P00482</t>
  </si>
  <si>
    <t>P00121</t>
  </si>
  <si>
    <t>P00413</t>
  </si>
  <si>
    <t>P00232</t>
  </si>
  <si>
    <t>P00212</t>
  </si>
  <si>
    <t>May</t>
  </si>
  <si>
    <t>P00481</t>
  </si>
  <si>
    <t>P00044</t>
  </si>
  <si>
    <t>P00023</t>
  </si>
  <si>
    <t>P00374</t>
  </si>
  <si>
    <t>P00412</t>
  </si>
  <si>
    <t>P00011</t>
  </si>
  <si>
    <t>P00027</t>
  </si>
  <si>
    <t>P00308</t>
  </si>
  <si>
    <t>P00404</t>
  </si>
  <si>
    <t>P00363</t>
  </si>
  <si>
    <t>P00430</t>
  </si>
  <si>
    <t>P00046</t>
  </si>
  <si>
    <t>P00488</t>
  </si>
  <si>
    <t>P00122</t>
  </si>
  <si>
    <t>P00147</t>
  </si>
  <si>
    <t>P00180</t>
  </si>
  <si>
    <t>P00373</t>
  </si>
  <si>
    <t>P00356</t>
  </si>
  <si>
    <t>P00440</t>
  </si>
  <si>
    <t>P00392</t>
  </si>
  <si>
    <t>P00201</t>
  </si>
  <si>
    <t>P00200</t>
  </si>
  <si>
    <t>P00079</t>
  </si>
  <si>
    <t>P00371</t>
  </si>
  <si>
    <t>P00101</t>
  </si>
  <si>
    <t>P00005</t>
  </si>
  <si>
    <t>P00194</t>
  </si>
  <si>
    <t>P00277</t>
  </si>
  <si>
    <t>P00202</t>
  </si>
  <si>
    <t>P00217</t>
  </si>
  <si>
    <t>P00460</t>
  </si>
  <si>
    <t>P00311</t>
  </si>
  <si>
    <t>P00245</t>
  </si>
  <si>
    <t>P00426</t>
  </si>
  <si>
    <t>P00385</t>
  </si>
  <si>
    <t>Jun</t>
  </si>
  <si>
    <t>P00162</t>
  </si>
  <si>
    <t>P00158</t>
  </si>
  <si>
    <t>P00164</t>
  </si>
  <si>
    <t>P00084</t>
  </si>
  <si>
    <t>P00353</t>
  </si>
  <si>
    <t>P00066</t>
  </si>
  <si>
    <t>P00449</t>
  </si>
  <si>
    <t>P00393</t>
  </si>
  <si>
    <t>P00048</t>
  </si>
  <si>
    <t>P00116</t>
  </si>
  <si>
    <t>P00477</t>
  </si>
  <si>
    <t>P00358</t>
  </si>
  <si>
    <t>P00420</t>
  </si>
  <si>
    <t>P00108</t>
  </si>
  <si>
    <t>P00161</t>
  </si>
  <si>
    <t>P00210</t>
  </si>
  <si>
    <t>P00409</t>
  </si>
  <si>
    <t>P00264</t>
  </si>
  <si>
    <t>P00397</t>
  </si>
  <si>
    <t>P00207</t>
  </si>
  <si>
    <t>P00379</t>
  </si>
  <si>
    <t>P00485</t>
  </si>
  <si>
    <t>P00080</t>
  </si>
  <si>
    <t>P00473</t>
  </si>
  <si>
    <t>P00325</t>
  </si>
  <si>
    <t>P00022</t>
  </si>
  <si>
    <t>P00306</t>
  </si>
  <si>
    <t>P00489</t>
  </si>
  <si>
    <t>P00326</t>
  </si>
  <si>
    <t>P00029</t>
  </si>
  <si>
    <t>P00142</t>
  </si>
  <si>
    <t>P00057</t>
  </si>
  <si>
    <t>P00468</t>
  </si>
  <si>
    <t>P00089</t>
  </si>
  <si>
    <t>P00196</t>
  </si>
  <si>
    <t>P00103</t>
  </si>
  <si>
    <t>P00140</t>
  </si>
  <si>
    <t>P00274</t>
  </si>
  <si>
    <t>P00351</t>
  </si>
  <si>
    <t>P00160</t>
  </si>
  <si>
    <t>P00366</t>
  </si>
  <si>
    <t>P00010</t>
  </si>
  <si>
    <t>Jul</t>
  </si>
  <si>
    <t>P00253</t>
  </si>
  <si>
    <t>P00500</t>
  </si>
  <si>
    <t>P00271</t>
  </si>
  <si>
    <t>P00227</t>
  </si>
  <si>
    <t>P00262</t>
  </si>
  <si>
    <t>P00163</t>
  </si>
  <si>
    <t>P00292</t>
  </si>
  <si>
    <t>P00329</t>
  </si>
  <si>
    <t>P00300</t>
  </si>
  <si>
    <t>P00093</t>
  </si>
  <si>
    <t>P00254</t>
  </si>
  <si>
    <t>P00362</t>
  </si>
  <si>
    <t>P00235</t>
  </si>
  <si>
    <t>P00444</t>
  </si>
  <si>
    <t>P00263</t>
  </si>
  <si>
    <t>P00467</t>
  </si>
  <si>
    <t>P00407</t>
  </si>
  <si>
    <t>P00189</t>
  </si>
  <si>
    <t>P00021</t>
  </si>
  <si>
    <t>P00398</t>
  </si>
  <si>
    <t>P00360</t>
  </si>
  <si>
    <t>P00343</t>
  </si>
  <si>
    <t>P00117</t>
  </si>
  <si>
    <t>P00148</t>
  </si>
  <si>
    <t>P00386</t>
  </si>
  <si>
    <t>P00375</t>
  </si>
  <si>
    <t>P00017</t>
  </si>
  <si>
    <t>P00157</t>
  </si>
  <si>
    <t>P00472</t>
  </si>
  <si>
    <t>P00037</t>
  </si>
  <si>
    <t>P00298</t>
  </si>
  <si>
    <t>P00395</t>
  </si>
  <si>
    <t>P00166</t>
  </si>
  <si>
    <t>P00238</t>
  </si>
  <si>
    <t>P00252</t>
  </si>
  <si>
    <t>P00206</t>
  </si>
  <si>
    <t>P00188</t>
  </si>
  <si>
    <t>P00060</t>
  </si>
  <si>
    <t>P00015</t>
  </si>
  <si>
    <t>P00061</t>
  </si>
  <si>
    <t>P00026</t>
  </si>
  <si>
    <t>P00493</t>
  </si>
  <si>
    <t>P00328</t>
  </si>
  <si>
    <t>P00106</t>
  </si>
  <si>
    <t>P00208</t>
  </si>
  <si>
    <t>P00130</t>
  </si>
  <si>
    <t>P00222</t>
  </si>
  <si>
    <t>P00339</t>
  </si>
  <si>
    <t>P00425</t>
  </si>
  <si>
    <t>Aug</t>
  </si>
  <si>
    <t>P00281</t>
  </si>
  <si>
    <t>P00198</t>
  </si>
  <si>
    <t>P00287</t>
  </si>
  <si>
    <t>P00256</t>
  </si>
  <si>
    <t>P00258</t>
  </si>
  <si>
    <t>P00445</t>
  </si>
  <si>
    <t>P00453</t>
  </si>
  <si>
    <t>P00065</t>
  </si>
  <si>
    <t>P00069</t>
  </si>
  <si>
    <t>P00152</t>
  </si>
  <si>
    <t>P00205</t>
  </si>
  <si>
    <t>P00275</t>
  </si>
  <si>
    <t>P00098</t>
  </si>
  <si>
    <t>P00019</t>
  </si>
  <si>
    <t>P00100</t>
  </si>
  <si>
    <t>P00063</t>
  </si>
  <si>
    <t>P00400</t>
  </si>
  <si>
    <t>P00347</t>
  </si>
  <si>
    <t>P00304</t>
  </si>
  <si>
    <t>P00233</t>
  </si>
  <si>
    <t>P00070</t>
  </si>
  <si>
    <t>P00334</t>
  </si>
  <si>
    <t>P00335</t>
  </si>
  <si>
    <t>P00004</t>
  </si>
  <si>
    <t>P00340</t>
  </si>
  <si>
    <t>P00286</t>
  </si>
  <si>
    <t>P00175</t>
  </si>
  <si>
    <t>P00438</t>
  </si>
  <si>
    <t>P00146</t>
  </si>
  <si>
    <t>P00076</t>
  </si>
  <si>
    <t>P00322</t>
  </si>
  <si>
    <t>P00059</t>
  </si>
  <si>
    <t>P00133</t>
  </si>
  <si>
    <t>P00155</t>
  </si>
  <si>
    <t>P00125</t>
  </si>
  <si>
    <t>P00032</t>
  </si>
  <si>
    <t>P00247</t>
  </si>
  <si>
    <t>P00215</t>
  </si>
  <si>
    <t>P00144</t>
  </si>
  <si>
    <t>P00078</t>
  </si>
  <si>
    <t>Sep</t>
  </si>
  <si>
    <t>P00181</t>
  </si>
  <si>
    <t>P00410</t>
  </si>
  <si>
    <t>P00040</t>
  </si>
  <si>
    <t>P00312</t>
  </si>
  <si>
    <t>P00036</t>
  </si>
  <si>
    <t>P00282</t>
  </si>
  <si>
    <t>P00138</t>
  </si>
  <si>
    <t>P00408</t>
  </si>
  <si>
    <t>P00436</t>
  </si>
  <si>
    <t>P00456</t>
  </si>
  <si>
    <t>P00074</t>
  </si>
  <si>
    <t>P00255</t>
  </si>
  <si>
    <t>P00496</t>
  </si>
  <si>
    <t>P00498</t>
  </si>
  <si>
    <t>P00376</t>
  </si>
  <si>
    <t>P00145</t>
  </si>
  <si>
    <t>P00182</t>
  </si>
  <si>
    <t>P00333</t>
  </si>
  <si>
    <t>P00369</t>
  </si>
  <si>
    <t>P00321</t>
  </si>
  <si>
    <t>P00050</t>
  </si>
  <si>
    <t>P00003</t>
  </si>
  <si>
    <t>P00216</t>
  </si>
  <si>
    <t>P00471</t>
  </si>
  <si>
    <t>P00299</t>
  </si>
  <si>
    <t>P00260</t>
  </si>
  <si>
    <t>P00361</t>
  </si>
  <si>
    <t>P00071</t>
  </si>
  <si>
    <t>P00324</t>
  </si>
  <si>
    <t>P00285</t>
  </si>
  <si>
    <t>P00265</t>
  </si>
  <si>
    <t>P00455</t>
  </si>
  <si>
    <t>P00391</t>
  </si>
  <si>
    <t>P00099</t>
  </si>
  <si>
    <t>P00221</t>
  </si>
  <si>
    <t>P00417</t>
  </si>
  <si>
    <t>P00025</t>
  </si>
  <si>
    <t>P00186</t>
  </si>
  <si>
    <t>P00024</t>
  </si>
  <si>
    <t>P00307</t>
  </si>
  <si>
    <t>P00109</t>
  </si>
  <si>
    <t>Oct</t>
  </si>
  <si>
    <t>P00433</t>
  </si>
  <si>
    <t>P00229</t>
  </si>
  <si>
    <t>P00082</t>
  </si>
  <si>
    <t>P00479</t>
  </si>
  <si>
    <t>P00123</t>
  </si>
  <si>
    <t>P00174</t>
  </si>
  <si>
    <t>P00458</t>
  </si>
  <si>
    <t>P00399</t>
  </si>
  <si>
    <t>P00429</t>
  </si>
  <si>
    <t>P00478</t>
  </si>
  <si>
    <t>P00053</t>
  </si>
  <si>
    <t>P00052</t>
  </si>
  <si>
    <t>P00107</t>
  </si>
  <si>
    <t>P00049</t>
  </si>
  <si>
    <t>P00067</t>
  </si>
  <si>
    <t>P00293</t>
  </si>
  <si>
    <t>P00384</t>
  </si>
  <si>
    <t>P00491</t>
  </si>
  <si>
    <t>P00354</t>
  </si>
  <si>
    <t>P00350</t>
  </si>
  <si>
    <t>P00295</t>
  </si>
  <si>
    <t>P00191</t>
  </si>
  <si>
    <t>P00336</t>
  </si>
  <si>
    <t>P00450</t>
  </si>
  <si>
    <t>P00427</t>
  </si>
  <si>
    <t>P00470</t>
  </si>
  <si>
    <t>P00323</t>
  </si>
  <si>
    <t>P00042</t>
  </si>
  <si>
    <t>P00068</t>
  </si>
  <si>
    <t>P00474</t>
  </si>
  <si>
    <t>P00348</t>
  </si>
  <si>
    <t>P00273</t>
  </si>
  <si>
    <t>P00128</t>
  </si>
  <si>
    <t>P00141</t>
  </si>
  <si>
    <t>P00039</t>
  </si>
  <si>
    <t>P00218</t>
  </si>
  <si>
    <t>P00279</t>
  </si>
  <si>
    <t>P00483</t>
  </si>
  <si>
    <t>P00062</t>
  </si>
  <si>
    <t>P00302</t>
  </si>
  <si>
    <t>P00154</t>
  </si>
  <si>
    <t>P00167</t>
  </si>
  <si>
    <t>P00156</t>
  </si>
  <si>
    <t>P00357</t>
  </si>
  <si>
    <t>P00463</t>
  </si>
  <si>
    <t>P00110</t>
  </si>
  <si>
    <t>P00087</t>
  </si>
  <si>
    <t>P00225</t>
  </si>
  <si>
    <t>Nov</t>
  </si>
  <si>
    <t>P00394</t>
  </si>
  <si>
    <t>P00244</t>
  </si>
  <si>
    <t>P00421</t>
  </si>
  <si>
    <t>P00199</t>
  </si>
  <si>
    <t>P00301</t>
  </si>
  <si>
    <t>P00346</t>
  </si>
  <si>
    <t>P00139</t>
  </si>
  <si>
    <t>P00454</t>
  </si>
  <si>
    <t>P00320</t>
  </si>
  <si>
    <t>P00219</t>
  </si>
  <si>
    <t>P00297</t>
  </si>
  <si>
    <t>P00330</t>
  </si>
  <si>
    <t>P00465</t>
  </si>
  <si>
    <t>P00242</t>
  </si>
  <si>
    <t>P00073</t>
  </si>
  <si>
    <t>P00266</t>
  </si>
  <si>
    <t>P00305</t>
  </si>
  <si>
    <t>P00077</t>
  </si>
  <si>
    <t>P00419</t>
  </si>
  <si>
    <t>P00259</t>
  </si>
  <si>
    <t>P00241</t>
  </si>
  <si>
    <t>P00118</t>
  </si>
  <si>
    <t>P00185</t>
  </si>
  <si>
    <t>P00278</t>
  </si>
  <si>
    <t>P00451</t>
  </si>
  <si>
    <t>P00469</t>
  </si>
  <si>
    <t>P00250</t>
  </si>
  <si>
    <t>P00211</t>
  </si>
  <si>
    <t>P00461</t>
  </si>
  <si>
    <t>P00367</t>
  </si>
  <si>
    <t>P00214</t>
  </si>
  <si>
    <t>P00105</t>
  </si>
  <si>
    <t>P00317</t>
  </si>
  <si>
    <t>P00405</t>
  </si>
  <si>
    <t>P00137</t>
  </si>
  <si>
    <t>P00355</t>
  </si>
  <si>
    <t>P00169</t>
  </si>
  <si>
    <t>P00396</t>
  </si>
  <si>
    <t>P00035</t>
  </si>
  <si>
    <t>P00316</t>
  </si>
  <si>
    <t>Dec</t>
  </si>
  <si>
    <t>P00365</t>
  </si>
  <si>
    <t>P00172</t>
  </si>
  <si>
    <t>P00043</t>
  </si>
  <si>
    <t>P00480</t>
  </si>
  <si>
    <t>P00193</t>
  </si>
  <si>
    <t>P00195</t>
  </si>
  <si>
    <t>P00119</t>
  </si>
  <si>
    <t>P00038</t>
  </si>
  <si>
    <t>P00484</t>
  </si>
  <si>
    <t>P00246</t>
  </si>
  <si>
    <t>P00268</t>
  </si>
  <si>
    <t>P00171</t>
  </si>
  <si>
    <t>P00226</t>
  </si>
  <si>
    <t>P00261</t>
  </si>
  <si>
    <t>P00434</t>
  </si>
  <si>
    <t>P00294</t>
  </si>
  <si>
    <t>P00303</t>
  </si>
  <si>
    <t>P00331</t>
  </si>
  <si>
    <t>P00055</t>
  </si>
  <si>
    <t>P00441</t>
  </si>
  <si>
    <t>P00018</t>
  </si>
  <si>
    <t>P00159</t>
  </si>
  <si>
    <t>P00431</t>
  </si>
  <si>
    <t>P00309</t>
  </si>
  <si>
    <t>P00327</t>
  </si>
  <si>
    <t>P00081</t>
  </si>
  <si>
    <t>P00131</t>
  </si>
  <si>
    <t>P00422</t>
  </si>
  <si>
    <t>P00359</t>
  </si>
  <si>
    <t>P00083</t>
  </si>
  <si>
    <t>P00447</t>
  </si>
  <si>
    <t>P00143</t>
  </si>
  <si>
    <t>P00338</t>
  </si>
  <si>
    <t>P00435</t>
  </si>
  <si>
    <t>P00466</t>
  </si>
  <si>
    <t>P00058</t>
  </si>
  <si>
    <t>P00332</t>
  </si>
  <si>
    <t>Row Labels</t>
  </si>
  <si>
    <t>Grand Total</t>
  </si>
  <si>
    <t>Sum of Beginning Stock</t>
  </si>
  <si>
    <t>Sum of Total Sales (MAD)</t>
  </si>
  <si>
    <t>Sum of Stock In</t>
  </si>
  <si>
    <t>Sum of Stock Out</t>
  </si>
  <si>
    <t>KPIs</t>
  </si>
  <si>
    <t>Qty</t>
  </si>
  <si>
    <t>Balance-in-Stock</t>
  </si>
  <si>
    <t>Stock-In</t>
  </si>
  <si>
    <t>Stock-Out</t>
  </si>
  <si>
    <t>INVENTORY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</si>
</sst>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yyyy\-mm\-dd"/>
    <numFmt numFmtId="165" formatCode="_-* #,##0_-;\-* #,##0_-;_-* &quot;-&quot;??_-;_-@_-"/>
  </numFmts>
  <fonts count="5" x14ac:knownFonts="1">
    <font>
      <sz val="11"/>
      <color theme="1"/>
      <name val="Calibri"/>
      <family val="2"/>
      <scheme val="minor"/>
    </font>
    <font>
      <b/>
      <sz val="11"/>
      <color rgb="FFFFFFFF"/>
      <name val="Calibri"/>
    </font>
    <font>
      <sz val="11"/>
      <color theme="1"/>
      <name val="Calibri"/>
      <family val="2"/>
      <scheme val="minor"/>
    </font>
    <font>
      <b/>
      <sz val="11"/>
      <color theme="1"/>
      <name val="Calibri"/>
      <family val="2"/>
      <scheme val="minor"/>
    </font>
    <font>
      <b/>
      <sz val="24"/>
      <color theme="0"/>
      <name val="Calibri"/>
      <family val="2"/>
      <scheme val="minor"/>
    </font>
  </fonts>
  <fills count="5">
    <fill>
      <patternFill patternType="none"/>
    </fill>
    <fill>
      <patternFill patternType="gray125"/>
    </fill>
    <fill>
      <patternFill patternType="solid">
        <fgColor rgb="FF1F4E78"/>
      </patternFill>
    </fill>
    <fill>
      <patternFill patternType="solid">
        <fgColor theme="3" tint="0.59999389629810485"/>
        <bgColor indexed="64"/>
      </patternFill>
    </fill>
    <fill>
      <patternFill patternType="solid">
        <fgColor rgb="FF0070C0"/>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3" fontId="2" fillId="0" borderId="0" applyFont="0" applyFill="0" applyBorder="0" applyAlignment="0" applyProtection="0"/>
  </cellStyleXfs>
  <cellXfs count="8">
    <xf numFmtId="0" fontId="0" fillId="0" borderId="0" xfId="0"/>
    <xf numFmtId="164" fontId="0" fillId="0" borderId="0" xfId="0" applyNumberFormat="1"/>
    <xf numFmtId="0" fontId="1" fillId="2" borderId="1" xfId="0" applyFont="1" applyFill="1" applyBorder="1" applyAlignment="1">
      <alignment horizontal="center" vertical="center"/>
    </xf>
    <xf numFmtId="0" fontId="0" fillId="0" borderId="0" xfId="0" pivotButton="1"/>
    <xf numFmtId="0" fontId="0" fillId="0" borderId="0" xfId="0" applyAlignment="1">
      <alignment horizontal="left"/>
    </xf>
    <xf numFmtId="0" fontId="3" fillId="3" borderId="0" xfId="0" applyFont="1" applyFill="1" applyAlignment="1">
      <alignment horizontal="center"/>
    </xf>
    <xf numFmtId="165" fontId="0" fillId="0" borderId="0" xfId="1" applyNumberFormat="1" applyFont="1"/>
    <xf numFmtId="0" fontId="4" fillId="4" borderId="0" xfId="0" applyFont="1" applyFill="1" applyAlignment="1">
      <alignment horizontal="center"/>
    </xf>
  </cellXfs>
  <cellStyles count="2">
    <cellStyle name="Comma" xfId="1" builtinId="3"/>
    <cellStyle name="Normal" xfId="0" builtinId="0"/>
  </cellStyles>
  <dxfs count="4">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[inventory_sales_project_dataset.xlsx]Sheet1!PivotTable1</c:name>
    <c:fmtId val="6"/>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Sheet1!$A$4:$A$14</c:f>
              <c:strCache>
                <c:ptCount val="10"/>
                <c:pt idx="0">
                  <c:v>Chair</c:v>
                </c:pt>
                <c:pt idx="1">
                  <c:v>Desk</c:v>
                </c:pt>
                <c:pt idx="2">
                  <c:v>Headphones</c:v>
                </c:pt>
                <c:pt idx="3">
                  <c:v>Keyboard</c:v>
                </c:pt>
                <c:pt idx="4">
                  <c:v>Laptop</c:v>
                </c:pt>
                <c:pt idx="5">
                  <c:v>Monitor</c:v>
                </c:pt>
                <c:pt idx="6">
                  <c:v>Mouse</c:v>
                </c:pt>
                <c:pt idx="7">
                  <c:v>Phone</c:v>
                </c:pt>
                <c:pt idx="8">
                  <c:v>Printer</c:v>
                </c:pt>
                <c:pt idx="9">
                  <c:v>Tablet</c:v>
                </c:pt>
              </c:strCache>
            </c:strRef>
          </c:cat>
          <c:val>
            <c:numRef>
              <c:f>Sheet1!$B$4:$B$14</c:f>
              <c:numCache>
                <c:formatCode>General</c:formatCode>
                <c:ptCount val="10"/>
                <c:pt idx="0">
                  <c:v>1159</c:v>
                </c:pt>
                <c:pt idx="1">
                  <c:v>1362</c:v>
                </c:pt>
                <c:pt idx="2">
                  <c:v>225</c:v>
                </c:pt>
                <c:pt idx="3">
                  <c:v>815</c:v>
                </c:pt>
                <c:pt idx="4">
                  <c:v>1214</c:v>
                </c:pt>
                <c:pt idx="5">
                  <c:v>1508</c:v>
                </c:pt>
                <c:pt idx="6">
                  <c:v>2137</c:v>
                </c:pt>
                <c:pt idx="7">
                  <c:v>1221</c:v>
                </c:pt>
                <c:pt idx="8">
                  <c:v>1871</c:v>
                </c:pt>
                <c:pt idx="9">
                  <c:v>1684</c:v>
                </c:pt>
              </c:numCache>
            </c:numRef>
          </c:val>
          <c:extLst>
            <c:ext xmlns:c16="http://schemas.microsoft.com/office/drawing/2014/chart" uri="{C3380CC4-5D6E-409C-BE32-E72D297353CC}">
              <c16:uniqueId val="{00000000-C4D2-4543-8287-C47F677D4362}"/>
            </c:ext>
          </c:extLst>
        </c:ser>
        <c:dLbls>
          <c:showLegendKey val="0"/>
          <c:showVal val="0"/>
          <c:showCatName val="0"/>
          <c:showSerName val="0"/>
          <c:showPercent val="0"/>
          <c:showBubbleSize val="0"/>
        </c:dLbls>
        <c:gapWidth val="100"/>
        <c:overlap val="-24"/>
        <c:axId val="1548142752"/>
        <c:axId val="1548145152"/>
      </c:barChart>
      <c:catAx>
        <c:axId val="154814275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8145152"/>
        <c:crosses val="autoZero"/>
        <c:auto val="1"/>
        <c:lblAlgn val="ctr"/>
        <c:lblOffset val="100"/>
        <c:noMultiLvlLbl val="0"/>
      </c:catAx>
      <c:valAx>
        <c:axId val="1548145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814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[inventory_sales_project_dataset.xlsx]Sheet1!PivotTable2</c:name>
    <c:fmtId val="5"/>
  </c:pivotSource>
  <c:chart>
    <c:autoTitleDeleted val="1"/>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Sheet1!$B$16</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Sheet1!$A$17:$A$27</c:f>
              <c:strCache>
                <c:ptCount val="10"/>
                <c:pt idx="0">
                  <c:v>Chair</c:v>
                </c:pt>
                <c:pt idx="1">
                  <c:v>Desk</c:v>
                </c:pt>
                <c:pt idx="2">
                  <c:v>Headphones</c:v>
                </c:pt>
                <c:pt idx="3">
                  <c:v>Keyboard</c:v>
                </c:pt>
                <c:pt idx="4">
                  <c:v>Laptop</c:v>
                </c:pt>
                <c:pt idx="5">
                  <c:v>Monitor</c:v>
                </c:pt>
                <c:pt idx="6">
                  <c:v>Mouse</c:v>
                </c:pt>
                <c:pt idx="7">
                  <c:v>Phone</c:v>
                </c:pt>
                <c:pt idx="8">
                  <c:v>Printer</c:v>
                </c:pt>
                <c:pt idx="9">
                  <c:v>Tablet</c:v>
                </c:pt>
              </c:strCache>
            </c:strRef>
          </c:cat>
          <c:val>
            <c:numRef>
              <c:f>Sheet1!$B$17:$B$27</c:f>
              <c:numCache>
                <c:formatCode>General</c:formatCode>
                <c:ptCount val="10"/>
                <c:pt idx="0">
                  <c:v>58020</c:v>
                </c:pt>
                <c:pt idx="1">
                  <c:v>173484</c:v>
                </c:pt>
                <c:pt idx="2">
                  <c:v>5128</c:v>
                </c:pt>
                <c:pt idx="3">
                  <c:v>33384</c:v>
                </c:pt>
                <c:pt idx="4">
                  <c:v>621705</c:v>
                </c:pt>
                <c:pt idx="5">
                  <c:v>201445</c:v>
                </c:pt>
                <c:pt idx="6">
                  <c:v>25408</c:v>
                </c:pt>
                <c:pt idx="7">
                  <c:v>311783</c:v>
                </c:pt>
                <c:pt idx="8">
                  <c:v>312505</c:v>
                </c:pt>
                <c:pt idx="9">
                  <c:v>553804</c:v>
                </c:pt>
              </c:numCache>
            </c:numRef>
          </c:val>
          <c:smooth val="0"/>
          <c:extLst>
            <c:ext xmlns:c16="http://schemas.microsoft.com/office/drawing/2014/chart" uri="{C3380CC4-5D6E-409C-BE32-E72D297353CC}">
              <c16:uniqueId val="{00000000-4EAF-4AD4-896E-B7F71D858F9E}"/>
            </c:ext>
          </c:extLst>
        </c:ser>
        <c:dLbls>
          <c:showLegendKey val="0"/>
          <c:showVal val="0"/>
          <c:showCatName val="0"/>
          <c:showSerName val="0"/>
          <c:showPercent val="0"/>
          <c:showBubbleSize val="0"/>
        </c:dLbls>
        <c:marker val="1"/>
        <c:smooth val="0"/>
        <c:axId val="1548163392"/>
        <c:axId val="1548163872"/>
      </c:lineChart>
      <c:catAx>
        <c:axId val="154816339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548163872"/>
        <c:crosses val="autoZero"/>
        <c:auto val="1"/>
        <c:lblAlgn val="ctr"/>
        <c:lblOffset val="100"/>
        <c:noMultiLvlLbl val="0"/>
      </c:catAx>
      <c:valAx>
        <c:axId val="1548163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48163392"/>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[inventory_sales_project_dataset.xlsx]Sheet1!PivotTable3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5839045088647844"/>
          <c:y val="0.11008481657214154"/>
          <c:w val="0.67560313593355481"/>
          <c:h val="0.77983036685571694"/>
        </c:manualLayout>
      </c:layout>
      <c:pieChart>
        <c:varyColors val="1"/>
        <c:ser>
          <c:idx val="0"/>
          <c:order val="0"/>
          <c:tx>
            <c:strRef>
              <c:f>Sheet1!$B$29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9F-494A-ADF8-0EF3AB1A31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9F-494A-ADF8-0EF3AB1A31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9F-494A-ADF8-0EF3AB1A31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B9F-494A-ADF8-0EF3AB1A31B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B9F-494A-ADF8-0EF3AB1A31B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Sheet1!$A$30:$A$35</c:f>
              <c:strCache>
                <c:ptCount val="5"/>
                <c:pt idx="0">
                  <c:v>WH-1</c:v>
                </c:pt>
                <c:pt idx="1">
                  <c:v>WH-2</c:v>
                </c:pt>
                <c:pt idx="2">
                  <c:v>WH-3</c:v>
                </c:pt>
                <c:pt idx="3">
                  <c:v>WH-4</c:v>
                </c:pt>
                <c:pt idx="4">
                  <c:v>WH-5</c:v>
                </c:pt>
              </c:strCache>
            </c:strRef>
          </c:cat>
          <c:val>
            <c:numRef>
              <c:f>Sheet1!$B$30:$B$35</c:f>
              <c:numCache>
                <c:formatCode>General</c:formatCode>
                <c:ptCount val="5"/>
                <c:pt idx="0">
                  <c:v>2834</c:v>
                </c:pt>
                <c:pt idx="1">
                  <c:v>1513</c:v>
                </c:pt>
                <c:pt idx="2">
                  <c:v>2869</c:v>
                </c:pt>
                <c:pt idx="3">
                  <c:v>3013</c:v>
                </c:pt>
                <c:pt idx="4">
                  <c:v>2967</c:v>
                </c:pt>
              </c:numCache>
            </c:numRef>
          </c:val>
          <c:extLst>
            <c:ext xmlns:c16="http://schemas.microsoft.com/office/drawing/2014/chart" uri="{C3380CC4-5D6E-409C-BE32-E72D297353CC}">
              <c16:uniqueId val="{0000000A-CB9F-494A-ADF8-0EF3AB1A31B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[inventory_sales_project_dataset.xlsx]Sheet1!PivotTable4</c:name>
    <c:fmtId val="7"/>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s>
    <c:plotArea>
      <c:layout>
        <c:manualLayout>
          <c:layoutTarget val="inner"/>
          <c:xMode val="edge"/>
          <c:yMode val="edge"/>
          <c:x val="0.22727022543029904"/>
          <c:y val="9.2018731847200164E-2"/>
          <c:w val="0.72043115833364224"/>
          <c:h val="0.80103813251052092"/>
        </c:manualLayout>
      </c:layout>
      <c:doughnutChart>
        <c:varyColors val="1"/>
        <c:ser>
          <c:idx val="0"/>
          <c:order val="0"/>
          <c:tx>
            <c:strRef>
              <c:f>Sheet1!$E$3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0794-4A2F-BD45-EC5B921F52F0}"/>
              </c:ext>
            </c:extLst>
          </c:dPt>
          <c:dPt>
            <c:idx val="1"/>
            <c:bubble3D val="0"/>
            <c:spPr>
              <a:solidFill>
                <a:schemeClr val="accent2"/>
              </a:solidFill>
              <a:ln w="19050">
                <a:noFill/>
              </a:ln>
              <a:effectLst/>
            </c:spPr>
            <c:extLst>
              <c:ext xmlns:c16="http://schemas.microsoft.com/office/drawing/2014/chart" uri="{C3380CC4-5D6E-409C-BE32-E72D297353CC}">
                <c16:uniqueId val="{00000003-0794-4A2F-BD45-EC5B921F52F0}"/>
              </c:ext>
            </c:extLst>
          </c:dPt>
          <c:dPt>
            <c:idx val="2"/>
            <c:bubble3D val="0"/>
            <c:spPr>
              <a:solidFill>
                <a:schemeClr val="accent3"/>
              </a:solidFill>
              <a:ln w="19050">
                <a:noFill/>
              </a:ln>
              <a:effectLst/>
            </c:spPr>
            <c:extLst>
              <c:ext xmlns:c16="http://schemas.microsoft.com/office/drawing/2014/chart" uri="{C3380CC4-5D6E-409C-BE32-E72D297353CC}">
                <c16:uniqueId val="{00000005-0794-4A2F-BD45-EC5B921F52F0}"/>
              </c:ext>
            </c:extLst>
          </c:dPt>
          <c:dPt>
            <c:idx val="3"/>
            <c:bubble3D val="0"/>
            <c:spPr>
              <a:solidFill>
                <a:schemeClr val="accent4"/>
              </a:solidFill>
              <a:ln w="19050">
                <a:noFill/>
              </a:ln>
              <a:effectLst/>
            </c:spPr>
            <c:extLst>
              <c:ext xmlns:c16="http://schemas.microsoft.com/office/drawing/2014/chart" uri="{C3380CC4-5D6E-409C-BE32-E72D297353CC}">
                <c16:uniqueId val="{00000007-0794-4A2F-BD45-EC5B921F52F0}"/>
              </c:ext>
            </c:extLst>
          </c:dPt>
          <c:dPt>
            <c:idx val="4"/>
            <c:bubble3D val="0"/>
            <c:spPr>
              <a:solidFill>
                <a:schemeClr val="accent5"/>
              </a:solidFill>
              <a:ln w="19050">
                <a:noFill/>
              </a:ln>
              <a:effectLst/>
            </c:spPr>
            <c:extLst>
              <c:ext xmlns:c16="http://schemas.microsoft.com/office/drawing/2014/chart" uri="{C3380CC4-5D6E-409C-BE32-E72D297353CC}">
                <c16:uniqueId val="{00000009-0794-4A2F-BD45-EC5B921F52F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Sheet1!$D$4:$D$9</c:f>
              <c:strCache>
                <c:ptCount val="5"/>
                <c:pt idx="0">
                  <c:v>WH-1</c:v>
                </c:pt>
                <c:pt idx="1">
                  <c:v>WH-2</c:v>
                </c:pt>
                <c:pt idx="2">
                  <c:v>WH-3</c:v>
                </c:pt>
                <c:pt idx="3">
                  <c:v>WH-4</c:v>
                </c:pt>
                <c:pt idx="4">
                  <c:v>WH-5</c:v>
                </c:pt>
              </c:strCache>
            </c:strRef>
          </c:cat>
          <c:val>
            <c:numRef>
              <c:f>Sheet1!$E$4:$E$9</c:f>
              <c:numCache>
                <c:formatCode>General</c:formatCode>
                <c:ptCount val="5"/>
                <c:pt idx="0">
                  <c:v>409856</c:v>
                </c:pt>
                <c:pt idx="1">
                  <c:v>48604</c:v>
                </c:pt>
                <c:pt idx="2">
                  <c:v>841789</c:v>
                </c:pt>
                <c:pt idx="3">
                  <c:v>492961</c:v>
                </c:pt>
                <c:pt idx="4">
                  <c:v>503456</c:v>
                </c:pt>
              </c:numCache>
            </c:numRef>
          </c:val>
          <c:extLst>
            <c:ext xmlns:c16="http://schemas.microsoft.com/office/drawing/2014/chart" uri="{C3380CC4-5D6E-409C-BE32-E72D297353CC}">
              <c16:uniqueId val="{0000000A-0794-4A2F-BD45-EC5B921F52F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31750</xdr:colOff>
      <xdr:row>7</xdr:row>
      <xdr:rowOff>25400</xdr:rowOff>
    </xdr:from>
    <xdr:to>
      <xdr:col>3</xdr:col>
      <xdr:colOff>0</xdr:colOff>
      <xdr:row>10</xdr:row>
      <xdr:rowOff>0</xdr:rowOff>
    </xdr:to>
    <xdr:sp macro="" textlink="">
      <xdr:nvSpPr>
        <xdr:cNvPr id="2" name="Rectangle: Rounded Corners 1">
          <a:extLst>
            <a:ext uri="{FF2B5EF4-FFF2-40B4-BE49-F238E27FC236}">
              <a16:creationId xmlns:a16="http://schemas.microsoft.com/office/drawing/2014/main" id="{DE609FA3-C1FB-69A6-288D-17C86571DACD}"/>
            </a:ext>
          </a:extLst>
        </xdr:cNvPr>
        <xdr:cNvSpPr/>
      </xdr:nvSpPr>
      <xdr:spPr>
        <a:xfrm>
          <a:off x="177800" y="1524000"/>
          <a:ext cx="1187450" cy="5270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76200</xdr:colOff>
      <xdr:row>7</xdr:row>
      <xdr:rowOff>44450</xdr:rowOff>
    </xdr:from>
    <xdr:to>
      <xdr:col>5</xdr:col>
      <xdr:colOff>44450</xdr:colOff>
      <xdr:row>10</xdr:row>
      <xdr:rowOff>19050</xdr:rowOff>
    </xdr:to>
    <xdr:sp macro="" textlink="">
      <xdr:nvSpPr>
        <xdr:cNvPr id="3" name="Rectangle: Rounded Corners 2">
          <a:extLst>
            <a:ext uri="{FF2B5EF4-FFF2-40B4-BE49-F238E27FC236}">
              <a16:creationId xmlns:a16="http://schemas.microsoft.com/office/drawing/2014/main" id="{A69ECCB4-7DFD-4DFE-9745-C31313B0E6E9}"/>
            </a:ext>
          </a:extLst>
        </xdr:cNvPr>
        <xdr:cNvSpPr/>
      </xdr:nvSpPr>
      <xdr:spPr>
        <a:xfrm>
          <a:off x="1441450" y="1543050"/>
          <a:ext cx="1187450" cy="5270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171450</xdr:colOff>
      <xdr:row>7</xdr:row>
      <xdr:rowOff>44450</xdr:rowOff>
    </xdr:from>
    <xdr:to>
      <xdr:col>7</xdr:col>
      <xdr:colOff>139700</xdr:colOff>
      <xdr:row>10</xdr:row>
      <xdr:rowOff>19050</xdr:rowOff>
    </xdr:to>
    <xdr:sp macro="" textlink="">
      <xdr:nvSpPr>
        <xdr:cNvPr id="4" name="Rectangle: Rounded Corners 3">
          <a:extLst>
            <a:ext uri="{FF2B5EF4-FFF2-40B4-BE49-F238E27FC236}">
              <a16:creationId xmlns:a16="http://schemas.microsoft.com/office/drawing/2014/main" id="{8523BEA9-CEEB-456B-BACC-8C94DC76E84F}"/>
            </a:ext>
          </a:extLst>
        </xdr:cNvPr>
        <xdr:cNvSpPr/>
      </xdr:nvSpPr>
      <xdr:spPr>
        <a:xfrm>
          <a:off x="2755900" y="1543050"/>
          <a:ext cx="1187450" cy="5270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31750</xdr:colOff>
      <xdr:row>10</xdr:row>
      <xdr:rowOff>69850</xdr:rowOff>
    </xdr:from>
    <xdr:to>
      <xdr:col>7</xdr:col>
      <xdr:colOff>63500</xdr:colOff>
      <xdr:row>18</xdr:row>
      <xdr:rowOff>0</xdr:rowOff>
    </xdr:to>
    <xdr:sp macro="" textlink="">
      <xdr:nvSpPr>
        <xdr:cNvPr id="5" name="Rectangle: Rounded Corners 4">
          <a:extLst>
            <a:ext uri="{FF2B5EF4-FFF2-40B4-BE49-F238E27FC236}">
              <a16:creationId xmlns:a16="http://schemas.microsoft.com/office/drawing/2014/main" id="{A20ABA7B-7B4D-4C42-BE19-49F83EAEEAF5}"/>
            </a:ext>
          </a:extLst>
        </xdr:cNvPr>
        <xdr:cNvSpPr/>
      </xdr:nvSpPr>
      <xdr:spPr>
        <a:xfrm>
          <a:off x="177800" y="2120900"/>
          <a:ext cx="3689350" cy="14033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38100</xdr:colOff>
      <xdr:row>18</xdr:row>
      <xdr:rowOff>31750</xdr:rowOff>
    </xdr:from>
    <xdr:to>
      <xdr:col>3</xdr:col>
      <xdr:colOff>590550</xdr:colOff>
      <xdr:row>26</xdr:row>
      <xdr:rowOff>133350</xdr:rowOff>
    </xdr:to>
    <xdr:sp macro="" textlink="">
      <xdr:nvSpPr>
        <xdr:cNvPr id="6" name="Rectangle: Rounded Corners 5">
          <a:extLst>
            <a:ext uri="{FF2B5EF4-FFF2-40B4-BE49-F238E27FC236}">
              <a16:creationId xmlns:a16="http://schemas.microsoft.com/office/drawing/2014/main" id="{B1C2C088-3360-4921-B8AA-D50F29FA35CF}"/>
            </a:ext>
          </a:extLst>
        </xdr:cNvPr>
        <xdr:cNvSpPr/>
      </xdr:nvSpPr>
      <xdr:spPr>
        <a:xfrm>
          <a:off x="184150" y="3556000"/>
          <a:ext cx="1771650" cy="15748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19050</xdr:colOff>
      <xdr:row>18</xdr:row>
      <xdr:rowOff>76200</xdr:rowOff>
    </xdr:from>
    <xdr:to>
      <xdr:col>7</xdr:col>
      <xdr:colOff>38100</xdr:colOff>
      <xdr:row>26</xdr:row>
      <xdr:rowOff>127000</xdr:rowOff>
    </xdr:to>
    <xdr:sp macro="" textlink="">
      <xdr:nvSpPr>
        <xdr:cNvPr id="8" name="Rectangle: Rounded Corners 7">
          <a:extLst>
            <a:ext uri="{FF2B5EF4-FFF2-40B4-BE49-F238E27FC236}">
              <a16:creationId xmlns:a16="http://schemas.microsoft.com/office/drawing/2014/main" id="{9AC7E456-9D1A-434D-82A6-92EAEAB954D9}"/>
            </a:ext>
          </a:extLst>
        </xdr:cNvPr>
        <xdr:cNvSpPr/>
      </xdr:nvSpPr>
      <xdr:spPr>
        <a:xfrm>
          <a:off x="1993900" y="3600450"/>
          <a:ext cx="1847850" cy="1524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6350</xdr:colOff>
      <xdr:row>26</xdr:row>
      <xdr:rowOff>171450</xdr:rowOff>
    </xdr:from>
    <xdr:to>
      <xdr:col>7</xdr:col>
      <xdr:colOff>38100</xdr:colOff>
      <xdr:row>34</xdr:row>
      <xdr:rowOff>101600</xdr:rowOff>
    </xdr:to>
    <xdr:sp macro="" textlink="">
      <xdr:nvSpPr>
        <xdr:cNvPr id="9" name="Rectangle: Rounded Corners 8">
          <a:extLst>
            <a:ext uri="{FF2B5EF4-FFF2-40B4-BE49-F238E27FC236}">
              <a16:creationId xmlns:a16="http://schemas.microsoft.com/office/drawing/2014/main" id="{6737D535-86F5-4B2C-8CF8-0F99243C4A46}"/>
            </a:ext>
          </a:extLst>
        </xdr:cNvPr>
        <xdr:cNvSpPr/>
      </xdr:nvSpPr>
      <xdr:spPr>
        <a:xfrm>
          <a:off x="152400" y="5168900"/>
          <a:ext cx="3689350" cy="14033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10</xdr:row>
      <xdr:rowOff>114508</xdr:rowOff>
    </xdr:from>
    <xdr:to>
      <xdr:col>7</xdr:col>
      <xdr:colOff>62458</xdr:colOff>
      <xdr:row>18</xdr:row>
      <xdr:rowOff>10408</xdr:rowOff>
    </xdr:to>
    <xdr:graphicFrame macro="">
      <xdr:nvGraphicFramePr>
        <xdr:cNvPr id="11" name="Chart 10">
          <a:extLst>
            <a:ext uri="{FF2B5EF4-FFF2-40B4-BE49-F238E27FC236}">
              <a16:creationId xmlns:a16="http://schemas.microsoft.com/office/drawing/2014/main" id="{3303147A-644C-4D4F-948A-D1D0F19A5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135328</xdr:colOff>
      <xdr:row>26</xdr:row>
      <xdr:rowOff>145738</xdr:rowOff>
    </xdr:from>
    <xdr:to>
      <xdr:col>7</xdr:col>
      <xdr:colOff>31229</xdr:colOff>
      <xdr:row>34</xdr:row>
      <xdr:rowOff>93688</xdr:rowOff>
    </xdr:to>
    <xdr:graphicFrame macro="">
      <xdr:nvGraphicFramePr>
        <xdr:cNvPr id="12" name="Chart 11">
          <a:extLst>
            <a:ext uri="{FF2B5EF4-FFF2-40B4-BE49-F238E27FC236}">
              <a16:creationId xmlns:a16="http://schemas.microsoft.com/office/drawing/2014/main" id="{A091B59F-A3C7-42C8-8858-BDBD96C3B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31229</xdr:colOff>
      <xdr:row>18</xdr:row>
      <xdr:rowOff>31229</xdr:rowOff>
    </xdr:from>
    <xdr:to>
      <xdr:col>7</xdr:col>
      <xdr:colOff>52049</xdr:colOff>
      <xdr:row>26</xdr:row>
      <xdr:rowOff>145738</xdr:rowOff>
    </xdr:to>
    <xdr:graphicFrame macro="">
      <xdr:nvGraphicFramePr>
        <xdr:cNvPr id="13" name="Chart 12">
          <a:extLst>
            <a:ext uri="{FF2B5EF4-FFF2-40B4-BE49-F238E27FC236}">
              <a16:creationId xmlns:a16="http://schemas.microsoft.com/office/drawing/2014/main" id="{7E3DD056-5B05-4CE6-8C5D-73B38DAFC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31229</xdr:colOff>
      <xdr:row>18</xdr:row>
      <xdr:rowOff>20820</xdr:rowOff>
    </xdr:from>
    <xdr:to>
      <xdr:col>3</xdr:col>
      <xdr:colOff>593361</xdr:colOff>
      <xdr:row>26</xdr:row>
      <xdr:rowOff>135328</xdr:rowOff>
    </xdr:to>
    <xdr:graphicFrame macro="">
      <xdr:nvGraphicFramePr>
        <xdr:cNvPr id="14" name="Chart 13">
          <a:extLst>
            <a:ext uri="{FF2B5EF4-FFF2-40B4-BE49-F238E27FC236}">
              <a16:creationId xmlns:a16="http://schemas.microsoft.com/office/drawing/2014/main" id="{28419D37-C176-4144-8EC8-7D0D77FCE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95591</xdr:colOff>
      <xdr:row>8</xdr:row>
      <xdr:rowOff>68280</xdr:rowOff>
    </xdr:from>
    <xdr:to>
      <xdr:col>2</xdr:col>
      <xdr:colOff>582085</xdr:colOff>
      <xdr:row>9</xdr:row>
      <xdr:rowOff>158750</xdr:rowOff>
    </xdr:to>
    <xdr:sp macro="" textlink="Sheet1!E27">
      <xdr:nvSpPr>
        <xdr:cNvPr id="15" name="TextBox 14">
          <a:extLst>
            <a:ext uri="{FF2B5EF4-FFF2-40B4-BE49-F238E27FC236}">
              <a16:creationId xmlns:a16="http://schemas.microsoft.com/office/drawing/2014/main" id="{886725F4-1C32-FA91-6AA0-22DCD95121B0}"/>
            </a:ext>
          </a:extLst>
        </xdr:cNvPr>
        <xdr:cNvSpPr txBox="1"/>
      </xdr:nvSpPr>
      <xdr:spPr>
        <a:xfrm>
          <a:off x="238978" y="1754785"/>
          <a:ext cx="1094182" cy="27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5E73F0-724C-4AAC-AD9D-B22B5ABFF3EE}" type="TxLink">
            <a:rPr lang="en-US" sz="1800" b="1" i="0" u="none" strike="noStrike">
              <a:solidFill>
                <a:srgbClr val="FF0000"/>
              </a:solidFill>
              <a:latin typeface="Calibri"/>
              <a:ea typeface="Calibri"/>
              <a:cs typeface="Calibri"/>
            </a:rPr>
            <a:pPr algn="ctr"/>
            <a:t> 13 196 </a:t>
          </a:fld>
          <a:endParaRPr lang="en-US" sz="1800" b="1">
            <a:solidFill>
              <a:srgbClr val="FF0000"/>
            </a:solidFill>
          </a:endParaRPr>
        </a:p>
      </xdr:txBody>
    </xdr:sp>
    <xdr:clientData/>
  </xdr:twoCellAnchor>
  <xdr:twoCellAnchor>
    <xdr:from>
      <xdr:col>3</xdr:col>
      <xdr:colOff>111432</xdr:colOff>
      <xdr:row>8</xdr:row>
      <xdr:rowOff>77293</xdr:rowOff>
    </xdr:from>
    <xdr:to>
      <xdr:col>4</xdr:col>
      <xdr:colOff>597925</xdr:colOff>
      <xdr:row>9</xdr:row>
      <xdr:rowOff>167763</xdr:rowOff>
    </xdr:to>
    <xdr:sp macro="" textlink="Sheet1!E28">
      <xdr:nvSpPr>
        <xdr:cNvPr id="16" name="TextBox 15">
          <a:extLst>
            <a:ext uri="{FF2B5EF4-FFF2-40B4-BE49-F238E27FC236}">
              <a16:creationId xmlns:a16="http://schemas.microsoft.com/office/drawing/2014/main" id="{F263C9AC-8B0F-4352-9697-448488973DAD}"/>
            </a:ext>
          </a:extLst>
        </xdr:cNvPr>
        <xdr:cNvSpPr txBox="1"/>
      </xdr:nvSpPr>
      <xdr:spPr>
        <a:xfrm>
          <a:off x="1470195" y="1763798"/>
          <a:ext cx="1094182" cy="27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10FB08-3053-4044-A783-6F376AE7DB9B}" type="TxLink">
            <a:rPr lang="en-US" sz="1800" b="1" i="0" u="none" strike="noStrike">
              <a:solidFill>
                <a:srgbClr val="0070C0"/>
              </a:solidFill>
              <a:latin typeface="Calibri"/>
              <a:ea typeface="Calibri"/>
              <a:cs typeface="Calibri"/>
            </a:rPr>
            <a:pPr algn="ctr"/>
            <a:t> 3 180 </a:t>
          </a:fld>
          <a:endParaRPr lang="en-US" sz="1800" b="1">
            <a:solidFill>
              <a:srgbClr val="0070C0"/>
            </a:solidFill>
          </a:endParaRPr>
        </a:p>
      </xdr:txBody>
    </xdr:sp>
    <xdr:clientData/>
  </xdr:twoCellAnchor>
  <xdr:twoCellAnchor>
    <xdr:from>
      <xdr:col>5</xdr:col>
      <xdr:colOff>202380</xdr:colOff>
      <xdr:row>8</xdr:row>
      <xdr:rowOff>65822</xdr:rowOff>
    </xdr:from>
    <xdr:to>
      <xdr:col>7</xdr:col>
      <xdr:colOff>81186</xdr:colOff>
      <xdr:row>9</xdr:row>
      <xdr:rowOff>156292</xdr:rowOff>
    </xdr:to>
    <xdr:sp macro="" textlink="Sheet1!E29">
      <xdr:nvSpPr>
        <xdr:cNvPr id="17" name="TextBox 16">
          <a:extLst>
            <a:ext uri="{FF2B5EF4-FFF2-40B4-BE49-F238E27FC236}">
              <a16:creationId xmlns:a16="http://schemas.microsoft.com/office/drawing/2014/main" id="{9D18FDCC-F950-4C41-B74C-836D6DB31BDB}"/>
            </a:ext>
          </a:extLst>
        </xdr:cNvPr>
        <xdr:cNvSpPr txBox="1"/>
      </xdr:nvSpPr>
      <xdr:spPr>
        <a:xfrm>
          <a:off x="2776520" y="1752327"/>
          <a:ext cx="1094182" cy="27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FA2A29A-50B2-4440-BDE5-5AF995D7A216}" type="TxLink">
            <a:rPr lang="en-US" sz="1800" b="1" i="0" u="none" strike="noStrike">
              <a:solidFill>
                <a:srgbClr val="00B050"/>
              </a:solidFill>
              <a:latin typeface="Calibri"/>
              <a:ea typeface="Calibri"/>
              <a:cs typeface="Calibri"/>
            </a:rPr>
            <a:pPr marL="0" indent="0" algn="ctr"/>
            <a:t> 1 388 </a:t>
          </a:fld>
          <a:endParaRPr lang="en-US" sz="1800" b="1" i="0" u="none" strike="noStrike">
            <a:solidFill>
              <a:srgbClr val="00B050"/>
            </a:solidFill>
            <a:latin typeface="Calibri"/>
            <a:ea typeface="Calibri"/>
            <a:cs typeface="Calibri"/>
          </a:endParaRPr>
        </a:p>
      </xdr:txBody>
    </xdr:sp>
    <xdr:clientData/>
  </xdr:twoCellAnchor>
  <xdr:twoCellAnchor>
    <xdr:from>
      <xdr:col>1</xdr:col>
      <xdr:colOff>197035</xdr:colOff>
      <xdr:row>7</xdr:row>
      <xdr:rowOff>59030</xdr:rowOff>
    </xdr:from>
    <xdr:to>
      <xdr:col>2</xdr:col>
      <xdr:colOff>429263</xdr:colOff>
      <xdr:row>8</xdr:row>
      <xdr:rowOff>37260</xdr:rowOff>
    </xdr:to>
    <xdr:sp macro="" textlink="">
      <xdr:nvSpPr>
        <xdr:cNvPr id="18" name="Rectangle: Rounded Corners 17">
          <a:extLst>
            <a:ext uri="{FF2B5EF4-FFF2-40B4-BE49-F238E27FC236}">
              <a16:creationId xmlns:a16="http://schemas.microsoft.com/office/drawing/2014/main" id="{4F48D29E-5890-E8AC-55B3-BA04B6D01DD9}"/>
            </a:ext>
          </a:extLst>
        </xdr:cNvPr>
        <xdr:cNvSpPr/>
      </xdr:nvSpPr>
      <xdr:spPr>
        <a:xfrm>
          <a:off x="341588" y="1566510"/>
          <a:ext cx="841415" cy="164083"/>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chemeClr val="bg1"/>
              </a:solidFill>
            </a:rPr>
            <a:t>Balance in Stock</a:t>
          </a:r>
        </a:p>
      </xdr:txBody>
    </xdr:sp>
    <xdr:clientData/>
  </xdr:twoCellAnchor>
  <xdr:twoCellAnchor>
    <xdr:from>
      <xdr:col>3</xdr:col>
      <xdr:colOff>238631</xdr:colOff>
      <xdr:row>7</xdr:row>
      <xdr:rowOff>65313</xdr:rowOff>
    </xdr:from>
    <xdr:to>
      <xdr:col>4</xdr:col>
      <xdr:colOff>470859</xdr:colOff>
      <xdr:row>8</xdr:row>
      <xdr:rowOff>43543</xdr:rowOff>
    </xdr:to>
    <xdr:sp macro="" textlink="">
      <xdr:nvSpPr>
        <xdr:cNvPr id="20" name="Rectangle: Rounded Corners 19">
          <a:extLst>
            <a:ext uri="{FF2B5EF4-FFF2-40B4-BE49-F238E27FC236}">
              <a16:creationId xmlns:a16="http://schemas.microsoft.com/office/drawing/2014/main" id="{7141CBA6-AAD8-4CEC-BA15-0F2DAA72121C}"/>
            </a:ext>
          </a:extLst>
        </xdr:cNvPr>
        <xdr:cNvSpPr/>
      </xdr:nvSpPr>
      <xdr:spPr>
        <a:xfrm>
          <a:off x="1601558" y="1572793"/>
          <a:ext cx="841415" cy="164083"/>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chemeClr val="bg1"/>
              </a:solidFill>
            </a:rPr>
            <a:t> Stock in</a:t>
          </a:r>
        </a:p>
      </xdr:txBody>
    </xdr:sp>
    <xdr:clientData/>
  </xdr:twoCellAnchor>
  <xdr:twoCellAnchor>
    <xdr:from>
      <xdr:col>5</xdr:col>
      <xdr:colOff>334524</xdr:colOff>
      <xdr:row>7</xdr:row>
      <xdr:rowOff>62267</xdr:rowOff>
    </xdr:from>
    <xdr:to>
      <xdr:col>6</xdr:col>
      <xdr:colOff>566752</xdr:colOff>
      <xdr:row>8</xdr:row>
      <xdr:rowOff>40497</xdr:rowOff>
    </xdr:to>
    <xdr:sp macro="" textlink="">
      <xdr:nvSpPr>
        <xdr:cNvPr id="21" name="Rectangle: Rounded Corners 20">
          <a:extLst>
            <a:ext uri="{FF2B5EF4-FFF2-40B4-BE49-F238E27FC236}">
              <a16:creationId xmlns:a16="http://schemas.microsoft.com/office/drawing/2014/main" id="{0667A602-EE9D-463B-A851-34A5D82950C3}"/>
            </a:ext>
          </a:extLst>
        </xdr:cNvPr>
        <xdr:cNvSpPr/>
      </xdr:nvSpPr>
      <xdr:spPr>
        <a:xfrm>
          <a:off x="2915825" y="1569747"/>
          <a:ext cx="841415" cy="164083"/>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chemeClr val="bg1"/>
              </a:solidFill>
            </a:rPr>
            <a:t>Stock out</a:t>
          </a:r>
        </a:p>
      </xdr:txBody>
    </xdr:sp>
    <xdr:clientData/>
  </xdr:twoCellAnchor>
  <xdr:twoCellAnchor>
    <xdr:from>
      <xdr:col>2</xdr:col>
      <xdr:colOff>372495</xdr:colOff>
      <xdr:row>10</xdr:row>
      <xdr:rowOff>150356</xdr:rowOff>
    </xdr:from>
    <xdr:to>
      <xdr:col>5</xdr:col>
      <xdr:colOff>508841</xdr:colOff>
      <xdr:row>11</xdr:row>
      <xdr:rowOff>142980</xdr:rowOff>
    </xdr:to>
    <xdr:sp macro="" textlink="">
      <xdr:nvSpPr>
        <xdr:cNvPr id="24" name="Rectangle: Rounded Corners 23">
          <a:extLst>
            <a:ext uri="{FF2B5EF4-FFF2-40B4-BE49-F238E27FC236}">
              <a16:creationId xmlns:a16="http://schemas.microsoft.com/office/drawing/2014/main" id="{68DDF234-0FD7-4659-8613-58980F6FB314}"/>
            </a:ext>
          </a:extLst>
        </xdr:cNvPr>
        <xdr:cNvSpPr/>
      </xdr:nvSpPr>
      <xdr:spPr>
        <a:xfrm>
          <a:off x="1129449" y="2210952"/>
          <a:ext cx="1965650" cy="177657"/>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chemeClr val="bg1"/>
              </a:solidFill>
            </a:rPr>
            <a:t>Balance in Stock By Product</a:t>
          </a:r>
        </a:p>
      </xdr:txBody>
    </xdr:sp>
    <xdr:clientData/>
  </xdr:twoCellAnchor>
  <xdr:twoCellAnchor>
    <xdr:from>
      <xdr:col>2</xdr:col>
      <xdr:colOff>221992</xdr:colOff>
      <xdr:row>26</xdr:row>
      <xdr:rowOff>171724</xdr:rowOff>
    </xdr:from>
    <xdr:to>
      <xdr:col>5</xdr:col>
      <xdr:colOff>536910</xdr:colOff>
      <xdr:row>27</xdr:row>
      <xdr:rowOff>123902</xdr:rowOff>
    </xdr:to>
    <xdr:sp macro="" textlink="">
      <xdr:nvSpPr>
        <xdr:cNvPr id="25" name="Rectangle: Rounded Corners 24">
          <a:extLst>
            <a:ext uri="{FF2B5EF4-FFF2-40B4-BE49-F238E27FC236}">
              <a16:creationId xmlns:a16="http://schemas.microsoft.com/office/drawing/2014/main" id="{2494D514-5CA7-4F50-82BC-00754E23E498}"/>
            </a:ext>
          </a:extLst>
        </xdr:cNvPr>
        <xdr:cNvSpPr/>
      </xdr:nvSpPr>
      <xdr:spPr>
        <a:xfrm>
          <a:off x="975732" y="5210423"/>
          <a:ext cx="2142479" cy="138032"/>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chemeClr val="bg1"/>
              </a:solidFill>
            </a:rPr>
            <a:t>Total</a:t>
          </a:r>
          <a:r>
            <a:rPr lang="en-US" sz="700" baseline="0">
              <a:solidFill>
                <a:schemeClr val="bg1"/>
              </a:solidFill>
            </a:rPr>
            <a:t> Sales By Product</a:t>
          </a:r>
          <a:endParaRPr lang="en-US" sz="700">
            <a:solidFill>
              <a:schemeClr val="bg1"/>
            </a:solidFill>
          </a:endParaRPr>
        </a:p>
      </xdr:txBody>
    </xdr:sp>
    <xdr:clientData/>
  </xdr:twoCellAnchor>
  <xdr:twoCellAnchor>
    <xdr:from>
      <xdr:col>4</xdr:col>
      <xdr:colOff>194113</xdr:colOff>
      <xdr:row>20</xdr:row>
      <xdr:rowOff>2066</xdr:rowOff>
    </xdr:from>
    <xdr:to>
      <xdr:col>4</xdr:col>
      <xdr:colOff>358196</xdr:colOff>
      <xdr:row>24</xdr:row>
      <xdr:rowOff>100066</xdr:rowOff>
    </xdr:to>
    <xdr:sp macro="" textlink="">
      <xdr:nvSpPr>
        <xdr:cNvPr id="26" name="Rectangle: Rounded Corners 25">
          <a:extLst>
            <a:ext uri="{FF2B5EF4-FFF2-40B4-BE49-F238E27FC236}">
              <a16:creationId xmlns:a16="http://schemas.microsoft.com/office/drawing/2014/main" id="{52EF17D7-BBDA-450F-8A51-9F97BF71CC32}"/>
            </a:ext>
          </a:extLst>
        </xdr:cNvPr>
        <xdr:cNvSpPr/>
      </xdr:nvSpPr>
      <xdr:spPr>
        <a:xfrm rot="16200000">
          <a:off x="1827561" y="4264309"/>
          <a:ext cx="841415" cy="164083"/>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chemeClr val="bg1"/>
              </a:solidFill>
            </a:rPr>
            <a:t>Sales</a:t>
          </a:r>
          <a:r>
            <a:rPr lang="en-US" sz="700" baseline="0">
              <a:solidFill>
                <a:schemeClr val="bg1"/>
              </a:solidFill>
            </a:rPr>
            <a:t> By location</a:t>
          </a:r>
          <a:endParaRPr lang="en-US" sz="700">
            <a:solidFill>
              <a:schemeClr val="bg1"/>
            </a:solidFill>
          </a:endParaRPr>
        </a:p>
      </xdr:txBody>
    </xdr:sp>
    <xdr:clientData/>
  </xdr:twoCellAnchor>
  <xdr:twoCellAnchor>
    <xdr:from>
      <xdr:col>1</xdr:col>
      <xdr:colOff>72281</xdr:colOff>
      <xdr:row>19</xdr:row>
      <xdr:rowOff>56786</xdr:rowOff>
    </xdr:from>
    <xdr:to>
      <xdr:col>1</xdr:col>
      <xdr:colOff>418171</xdr:colOff>
      <xdr:row>25</xdr:row>
      <xdr:rowOff>1</xdr:rowOff>
    </xdr:to>
    <xdr:sp macro="" textlink="">
      <xdr:nvSpPr>
        <xdr:cNvPr id="27" name="Rectangle: Rounded Corners 26">
          <a:extLst>
            <a:ext uri="{FF2B5EF4-FFF2-40B4-BE49-F238E27FC236}">
              <a16:creationId xmlns:a16="http://schemas.microsoft.com/office/drawing/2014/main" id="{F007AE28-7B96-40E0-9944-2673431D284F}"/>
            </a:ext>
          </a:extLst>
        </xdr:cNvPr>
        <xdr:cNvSpPr/>
      </xdr:nvSpPr>
      <xdr:spPr>
        <a:xfrm rot="16200000">
          <a:off x="-139390" y="4150734"/>
          <a:ext cx="1058337" cy="34589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600">
              <a:solidFill>
                <a:schemeClr val="bg1"/>
              </a:solidFill>
            </a:rPr>
            <a:t>Balance in Stock By </a:t>
          </a:r>
          <a:r>
            <a:rPr lang="en-US" sz="700">
              <a:solidFill>
                <a:schemeClr val="bg1"/>
              </a:solidFill>
            </a:rPr>
            <a:t>location</a:t>
          </a:r>
          <a:endParaRPr lang="en-US" sz="600">
            <a:solidFill>
              <a:schemeClr val="bg1"/>
            </a:solidFill>
          </a:endParaRPr>
        </a:p>
      </xdr:txBody>
    </xdr:sp>
    <xdr:clientData/>
  </xdr:twoCellAnchor>
  <xdr:twoCellAnchor editAs="oneCell">
    <xdr:from>
      <xdr:col>0</xdr:col>
      <xdr:colOff>118791</xdr:colOff>
      <xdr:row>1</xdr:row>
      <xdr:rowOff>131646</xdr:rowOff>
    </xdr:from>
    <xdr:to>
      <xdr:col>8</xdr:col>
      <xdr:colOff>7744</xdr:colOff>
      <xdr:row>6</xdr:row>
      <xdr:rowOff>147134</xdr:rowOff>
    </xdr:to>
    <mc:AlternateContent xmlns:mc="http://schemas.openxmlformats.org/markup-compatibility/2006" xmlns:a14="http://schemas.microsoft.com/office/drawing/2010/main">
      <mc:Choice Requires="a14">
        <xdr:graphicFrame macro="">
          <xdr:nvGraphicFramePr>
            <xdr:cNvPr id="29" name="Month">
              <a:extLst>
                <a:ext uri="{FF2B5EF4-FFF2-40B4-BE49-F238E27FC236}">
                  <a16:creationId xmlns:a16="http://schemas.microsoft.com/office/drawing/2014/main" id="{EB5A469F-A109-F93A-7674-3632A7A2388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8791" y="521558"/>
              <a:ext cx="3944041" cy="962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320.841138773147" createdVersion="8" refreshedVersion="8" minRefreshableVersion="3" recordCount="500" xr:uid="{FBBC30B9-351C-4AC3-912A-83C59D23DF09}">
  <cacheSource type="worksheet">
    <worksheetSource name="Table1"/>
  </cacheSource>
  <cacheFields count="13">
    <cacheField name="ID" numFmtId="0">
      <sharedItems/>
    </cacheField>
    <cacheField name="Date" numFmtId="164">
      <sharedItems containsSemiMixedTypes="0" containsNonDate="0" containsDate="1" containsString="0" minDate="2025-01-02T00:00:00" maxDate="2025-12-28T00:00:00"/>
    </cacheField>
    <cacheField name="Month" numFmtId="0">
      <sharedItems count="12">
        <s v="Jan"/>
        <s v="Feb"/>
        <s v="Mar"/>
        <s v="Apr"/>
        <s v="May"/>
        <s v="Jun"/>
        <s v="Jul"/>
        <s v="Aug"/>
        <s v="Sep"/>
        <s v="Oct"/>
        <s v="Nov"/>
        <s v="Dec"/>
      </sharedItems>
    </cacheField>
    <cacheField name="Product" numFmtId="0">
      <sharedItems count="10">
        <s v="Tablet"/>
        <s v="Printer"/>
        <s v="Desk"/>
        <s v="Phone"/>
        <s v="Mouse"/>
        <s v="Keyboard"/>
        <s v="Headphones"/>
        <s v="Laptop"/>
        <s v="Chair"/>
        <s v="Monitor"/>
      </sharedItems>
    </cacheField>
    <cacheField name="Beginning Stock" numFmtId="0">
      <sharedItems containsSemiMixedTypes="0" containsString="0" containsNumber="1" containsInteger="1" minValue="41" maxValue="500"/>
    </cacheField>
    <cacheField name="Stock In" numFmtId="0">
      <sharedItems containsSemiMixedTypes="0" containsString="0" containsNumber="1" containsInteger="1" minValue="0" maxValue="100"/>
    </cacheField>
    <cacheField name="Stock Out" numFmtId="0">
      <sharedItems containsSemiMixedTypes="0" containsString="0" containsNumber="1" containsInteger="1" minValue="0" maxValue="60"/>
    </cacheField>
    <cacheField name="Ending Stock" numFmtId="0">
      <sharedItems containsSemiMixedTypes="0" containsString="0" containsNumber="1" containsInteger="1" minValue="0" maxValue="577"/>
    </cacheField>
    <cacheField name="Location" numFmtId="0">
      <sharedItems count="5">
        <s v="WH-4"/>
        <s v="WH-1"/>
        <s v="WH-3"/>
        <s v="WH-5"/>
        <s v="WH-2"/>
      </sharedItems>
    </cacheField>
    <cacheField name="Unit Cost (MAD)" numFmtId="0">
      <sharedItems containsSemiMixedTypes="0" containsString="0" containsNumber="1" containsInteger="1" minValue="47" maxValue="6449"/>
    </cacheField>
    <cacheField name="Total Sales (MAD)" numFmtId="0">
      <sharedItems containsSemiMixedTypes="0" containsString="0" containsNumber="1" containsInteger="1" minValue="0" maxValue="310368"/>
    </cacheField>
    <cacheField name="Reorder Level" numFmtId="0">
      <sharedItems containsSemiMixedTypes="0" containsString="0" containsNumber="1" containsInteger="1" minValue="8" maxValue="35"/>
    </cacheField>
    <cacheField name="Supplier" numFmtId="0">
      <sharedItems/>
    </cacheField>
  </cacheFields>
  <extLst>
    <ext xmlns:x14="http://schemas.microsoft.com/office/spreadsheetml/2009/9/main" uri="{725AE2AE-9491-48be-B2B4-4EB974FC3084}">
      <x14:pivotCacheDefinition pivotCacheId="1602682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P00120"/>
    <d v="2025-01-02T00:00:00"/>
    <x v="0"/>
    <x v="0"/>
    <n v="249"/>
    <n v="57"/>
    <n v="44"/>
    <n v="262"/>
    <x v="0"/>
    <n v="2416"/>
    <n v="106304"/>
    <n v="12"/>
    <s v="TechSupply"/>
  </r>
  <r>
    <s v="P00337"/>
    <d v="2025-01-02T00:00:00"/>
    <x v="0"/>
    <x v="1"/>
    <n v="421"/>
    <n v="27"/>
    <n v="37"/>
    <n v="411"/>
    <x v="1"/>
    <n v="849"/>
    <n v="31413"/>
    <n v="8"/>
    <s v="SmartDistrib"/>
  </r>
  <r>
    <s v="P00415"/>
    <d v="2025-01-03T00:00:00"/>
    <x v="0"/>
    <x v="2"/>
    <n v="400"/>
    <n v="27"/>
    <n v="13"/>
    <n v="414"/>
    <x v="1"/>
    <n v="1170"/>
    <n v="15210"/>
    <n v="12"/>
    <s v="OfficePro"/>
  </r>
  <r>
    <s v="P00045"/>
    <d v="2025-01-05T00:00:00"/>
    <x v="0"/>
    <x v="3"/>
    <n v="274"/>
    <n v="79"/>
    <n v="36"/>
    <n v="317"/>
    <x v="1"/>
    <n v="2209"/>
    <n v="79524"/>
    <n v="15"/>
    <s v="Atlas Electronics"/>
  </r>
  <r>
    <s v="P00291"/>
    <d v="2025-01-05T00:00:00"/>
    <x v="0"/>
    <x v="4"/>
    <n v="473"/>
    <n v="13"/>
    <n v="27"/>
    <n v="459"/>
    <x v="2"/>
    <n v="74"/>
    <n v="1998"/>
    <n v="35"/>
    <s v="SmartDistrib"/>
  </r>
  <r>
    <s v="P00113"/>
    <d v="2025-01-07T00:00:00"/>
    <x v="0"/>
    <x v="3"/>
    <n v="333"/>
    <n v="36"/>
    <n v="30"/>
    <n v="339"/>
    <x v="0"/>
    <n v="3760"/>
    <n v="112800"/>
    <n v="15"/>
    <s v="SmartDistrib"/>
  </r>
  <r>
    <s v="P00457"/>
    <d v="2025-01-07T00:00:00"/>
    <x v="0"/>
    <x v="4"/>
    <n v="224"/>
    <n v="40"/>
    <n v="8"/>
    <n v="256"/>
    <x v="3"/>
    <n v="139"/>
    <n v="1112"/>
    <n v="35"/>
    <s v="SmartDistrib"/>
  </r>
  <r>
    <s v="P00390"/>
    <d v="2025-01-07T00:00:00"/>
    <x v="0"/>
    <x v="2"/>
    <n v="189"/>
    <n v="52"/>
    <n v="24"/>
    <n v="217"/>
    <x v="3"/>
    <n v="773"/>
    <n v="18552"/>
    <n v="12"/>
    <s v="OfficePro"/>
  </r>
  <r>
    <s v="P00136"/>
    <d v="2025-01-08T00:00:00"/>
    <x v="0"/>
    <x v="4"/>
    <n v="322"/>
    <n v="52"/>
    <n v="5"/>
    <n v="369"/>
    <x v="1"/>
    <n v="97"/>
    <n v="485"/>
    <n v="35"/>
    <s v="SmartDistrib"/>
  </r>
  <r>
    <s v="P00179"/>
    <d v="2025-01-08T00:00:00"/>
    <x v="0"/>
    <x v="0"/>
    <n v="223"/>
    <n v="100"/>
    <n v="15"/>
    <n v="308"/>
    <x v="2"/>
    <n v="2405"/>
    <n v="36075"/>
    <n v="12"/>
    <s v="SmartDistrib"/>
  </r>
  <r>
    <s v="P00370"/>
    <d v="2025-01-09T00:00:00"/>
    <x v="0"/>
    <x v="5"/>
    <n v="43"/>
    <n v="68"/>
    <n v="35"/>
    <n v="76"/>
    <x v="1"/>
    <n v="290"/>
    <n v="10150"/>
    <n v="30"/>
    <s v="TechSupply"/>
  </r>
  <r>
    <s v="P00345"/>
    <d v="2025-01-09T00:00:00"/>
    <x v="0"/>
    <x v="6"/>
    <n v="163"/>
    <n v="26"/>
    <n v="4"/>
    <n v="185"/>
    <x v="3"/>
    <n v="223"/>
    <n v="892"/>
    <n v="25"/>
    <s v="Atlas Electronics"/>
  </r>
  <r>
    <s v="P00090"/>
    <d v="2025-01-10T00:00:00"/>
    <x v="0"/>
    <x v="5"/>
    <n v="423"/>
    <n v="69"/>
    <n v="3"/>
    <n v="489"/>
    <x v="4"/>
    <n v="259"/>
    <n v="777"/>
    <n v="30"/>
    <s v="TechSupply"/>
  </r>
  <r>
    <s v="P00494"/>
    <d v="2025-01-12T00:00:00"/>
    <x v="0"/>
    <x v="3"/>
    <n v="73"/>
    <n v="25"/>
    <n v="57"/>
    <n v="41"/>
    <x v="4"/>
    <n v="3616"/>
    <n v="206112"/>
    <n v="15"/>
    <s v="Atlas Electronics"/>
  </r>
  <r>
    <s v="P00342"/>
    <d v="2025-01-12T00:00:00"/>
    <x v="0"/>
    <x v="7"/>
    <n v="192"/>
    <n v="59"/>
    <n v="43"/>
    <n v="208"/>
    <x v="3"/>
    <n v="6445"/>
    <n v="277135"/>
    <n v="8"/>
    <s v="Atlas Electronics"/>
  </r>
  <r>
    <s v="P00168"/>
    <d v="2025-01-13T00:00:00"/>
    <x v="0"/>
    <x v="5"/>
    <n v="357"/>
    <n v="71"/>
    <n v="20"/>
    <n v="408"/>
    <x v="1"/>
    <n v="193"/>
    <n v="3860"/>
    <n v="30"/>
    <s v="SmartDistrib"/>
  </r>
  <r>
    <s v="P00001"/>
    <d v="2025-01-13T00:00:00"/>
    <x v="0"/>
    <x v="3"/>
    <n v="419"/>
    <n v="35"/>
    <n v="15"/>
    <n v="439"/>
    <x v="4"/>
    <n v="2714"/>
    <n v="40710"/>
    <n v="15"/>
    <s v="Atlas Electronics"/>
  </r>
  <r>
    <s v="P00389"/>
    <d v="2025-01-14T00:00:00"/>
    <x v="0"/>
    <x v="3"/>
    <n v="85"/>
    <n v="45"/>
    <n v="35"/>
    <n v="95"/>
    <x v="3"/>
    <n v="2181"/>
    <n v="76335"/>
    <n v="15"/>
    <s v="SmartDistrib"/>
  </r>
  <r>
    <s v="P00414"/>
    <d v="2025-01-15T00:00:00"/>
    <x v="0"/>
    <x v="2"/>
    <n v="417"/>
    <n v="78"/>
    <n v="56"/>
    <n v="439"/>
    <x v="0"/>
    <n v="1004"/>
    <n v="56224"/>
    <n v="12"/>
    <s v="BureauPlus"/>
  </r>
  <r>
    <s v="P00151"/>
    <d v="2025-01-15T00:00:00"/>
    <x v="0"/>
    <x v="1"/>
    <n v="63"/>
    <n v="41"/>
    <n v="50"/>
    <n v="54"/>
    <x v="2"/>
    <n v="814"/>
    <n v="40700"/>
    <n v="8"/>
    <s v="SmartDistrib"/>
  </r>
  <r>
    <s v="P00102"/>
    <d v="2025-01-15T00:00:00"/>
    <x v="0"/>
    <x v="8"/>
    <n v="293"/>
    <n v="41"/>
    <n v="11"/>
    <n v="323"/>
    <x v="4"/>
    <n v="749"/>
    <n v="8239"/>
    <n v="20"/>
    <s v="BureauPlus"/>
  </r>
  <r>
    <s v="P00239"/>
    <d v="2025-01-15T00:00:00"/>
    <x v="0"/>
    <x v="9"/>
    <n v="203"/>
    <n v="12"/>
    <n v="53"/>
    <n v="162"/>
    <x v="2"/>
    <n v="2363"/>
    <n v="125239"/>
    <n v="10"/>
    <s v="TechSupply"/>
  </r>
  <r>
    <s v="P00091"/>
    <d v="2025-01-16T00:00:00"/>
    <x v="0"/>
    <x v="7"/>
    <n v="166"/>
    <n v="25"/>
    <n v="53"/>
    <n v="138"/>
    <x v="3"/>
    <n v="3583"/>
    <n v="189899"/>
    <n v="8"/>
    <s v="TechSupply"/>
  </r>
  <r>
    <s v="P00383"/>
    <d v="2025-01-16T00:00:00"/>
    <x v="0"/>
    <x v="8"/>
    <n v="364"/>
    <n v="34"/>
    <n v="50"/>
    <n v="348"/>
    <x v="0"/>
    <n v="711"/>
    <n v="35550"/>
    <n v="20"/>
    <s v="OfficePro"/>
  </r>
  <r>
    <s v="P00403"/>
    <d v="2025-01-19T00:00:00"/>
    <x v="0"/>
    <x v="4"/>
    <n v="444"/>
    <n v="46"/>
    <n v="44"/>
    <n v="446"/>
    <x v="3"/>
    <n v="177"/>
    <n v="7788"/>
    <n v="35"/>
    <s v="TechSupply"/>
  </r>
  <r>
    <s v="P00318"/>
    <d v="2025-01-20T00:00:00"/>
    <x v="0"/>
    <x v="4"/>
    <n v="129"/>
    <n v="53"/>
    <n v="56"/>
    <n v="126"/>
    <x v="1"/>
    <n v="85"/>
    <n v="4760"/>
    <n v="35"/>
    <s v="SmartDistrib"/>
  </r>
  <r>
    <s v="P00240"/>
    <d v="2025-01-20T00:00:00"/>
    <x v="0"/>
    <x v="0"/>
    <n v="186"/>
    <n v="60"/>
    <n v="44"/>
    <n v="202"/>
    <x v="4"/>
    <n v="2902"/>
    <n v="127688"/>
    <n v="12"/>
    <s v="TechSupply"/>
  </r>
  <r>
    <s v="P00296"/>
    <d v="2025-01-21T00:00:00"/>
    <x v="0"/>
    <x v="4"/>
    <n v="63"/>
    <n v="4"/>
    <n v="8"/>
    <n v="59"/>
    <x v="0"/>
    <n v="125"/>
    <n v="1000"/>
    <n v="35"/>
    <s v="SmartDistrib"/>
  </r>
  <r>
    <s v="P00377"/>
    <d v="2025-01-22T00:00:00"/>
    <x v="0"/>
    <x v="4"/>
    <n v="157"/>
    <n v="27"/>
    <n v="57"/>
    <n v="127"/>
    <x v="3"/>
    <n v="217"/>
    <n v="12369"/>
    <n v="35"/>
    <s v="SmartDistrib"/>
  </r>
  <r>
    <s v="P00054"/>
    <d v="2025-01-22T00:00:00"/>
    <x v="0"/>
    <x v="0"/>
    <n v="197"/>
    <n v="46"/>
    <n v="57"/>
    <n v="186"/>
    <x v="1"/>
    <n v="2830"/>
    <n v="161310"/>
    <n v="12"/>
    <s v="TechSupply"/>
  </r>
  <r>
    <s v="P00064"/>
    <d v="2025-01-23T00:00:00"/>
    <x v="0"/>
    <x v="1"/>
    <n v="402"/>
    <n v="55"/>
    <n v="0"/>
    <n v="457"/>
    <x v="3"/>
    <n v="1764"/>
    <n v="0"/>
    <n v="8"/>
    <s v="BureauPlus"/>
  </r>
  <r>
    <s v="P00411"/>
    <d v="2025-01-23T00:00:00"/>
    <x v="0"/>
    <x v="1"/>
    <n v="454"/>
    <n v="90"/>
    <n v="7"/>
    <n v="537"/>
    <x v="2"/>
    <n v="746"/>
    <n v="5222"/>
    <n v="8"/>
    <s v="BureauPlus"/>
  </r>
  <r>
    <s v="P00051"/>
    <d v="2025-01-23T00:00:00"/>
    <x v="0"/>
    <x v="1"/>
    <n v="41"/>
    <n v="42"/>
    <n v="49"/>
    <n v="34"/>
    <x v="2"/>
    <n v="967"/>
    <n v="47383"/>
    <n v="8"/>
    <s v="BureauPlus"/>
  </r>
  <r>
    <s v="P00231"/>
    <d v="2025-01-23T00:00:00"/>
    <x v="0"/>
    <x v="5"/>
    <n v="250"/>
    <n v="46"/>
    <n v="43"/>
    <n v="253"/>
    <x v="0"/>
    <n v="201"/>
    <n v="8643"/>
    <n v="30"/>
    <s v="SmartDistrib"/>
  </r>
  <r>
    <s v="P00251"/>
    <d v="2025-01-23T00:00:00"/>
    <x v="0"/>
    <x v="9"/>
    <n v="445"/>
    <n v="25"/>
    <n v="56"/>
    <n v="414"/>
    <x v="2"/>
    <n v="985"/>
    <n v="55160"/>
    <n v="10"/>
    <s v="BureauPlus"/>
  </r>
  <r>
    <s v="P00249"/>
    <d v="2025-01-23T00:00:00"/>
    <x v="0"/>
    <x v="0"/>
    <n v="220"/>
    <n v="69"/>
    <n v="21"/>
    <n v="268"/>
    <x v="4"/>
    <n v="2866"/>
    <n v="60186"/>
    <n v="12"/>
    <s v="TechSupply"/>
  </r>
  <r>
    <s v="P00112"/>
    <d v="2025-01-24T00:00:00"/>
    <x v="0"/>
    <x v="1"/>
    <n v="67"/>
    <n v="70"/>
    <n v="18"/>
    <n v="119"/>
    <x v="4"/>
    <n v="2128"/>
    <n v="38304"/>
    <n v="8"/>
    <s v="SmartDistrib"/>
  </r>
  <r>
    <s v="P00475"/>
    <d v="2025-01-24T00:00:00"/>
    <x v="0"/>
    <x v="4"/>
    <n v="245"/>
    <n v="8"/>
    <n v="56"/>
    <n v="197"/>
    <x v="2"/>
    <n v="159"/>
    <n v="8904"/>
    <n v="35"/>
    <s v="SmartDistrib"/>
  </r>
  <r>
    <s v="P00378"/>
    <d v="2025-01-24T00:00:00"/>
    <x v="0"/>
    <x v="1"/>
    <n v="78"/>
    <n v="87"/>
    <n v="59"/>
    <n v="106"/>
    <x v="3"/>
    <n v="1274"/>
    <n v="75166"/>
    <n v="8"/>
    <s v="BureauPlus"/>
  </r>
  <r>
    <s v="P00243"/>
    <d v="2025-01-25T00:00:00"/>
    <x v="0"/>
    <x v="3"/>
    <n v="162"/>
    <n v="53"/>
    <n v="40"/>
    <n v="175"/>
    <x v="1"/>
    <n v="3672"/>
    <n v="146880"/>
    <n v="15"/>
    <s v="Atlas Electronics"/>
  </r>
  <r>
    <s v="P00490"/>
    <d v="2025-01-26T00:00:00"/>
    <x v="0"/>
    <x v="4"/>
    <n v="386"/>
    <n v="38"/>
    <n v="16"/>
    <n v="408"/>
    <x v="1"/>
    <n v="84"/>
    <n v="1344"/>
    <n v="35"/>
    <s v="SmartDistrib"/>
  </r>
  <r>
    <s v="P00290"/>
    <d v="2025-01-26T00:00:00"/>
    <x v="0"/>
    <x v="7"/>
    <n v="184"/>
    <n v="63"/>
    <n v="38"/>
    <n v="209"/>
    <x v="0"/>
    <n v="6179"/>
    <n v="234802"/>
    <n v="8"/>
    <s v="Atlas Electronics"/>
  </r>
  <r>
    <s v="P00134"/>
    <d v="2025-01-27T00:00:00"/>
    <x v="0"/>
    <x v="5"/>
    <n v="144"/>
    <n v="34"/>
    <n v="35"/>
    <n v="143"/>
    <x v="2"/>
    <n v="147"/>
    <n v="5145"/>
    <n v="30"/>
    <s v="SmartDistrib"/>
  </r>
  <r>
    <s v="P00192"/>
    <d v="2025-01-27T00:00:00"/>
    <x v="0"/>
    <x v="2"/>
    <n v="187"/>
    <n v="76"/>
    <n v="19"/>
    <n v="244"/>
    <x v="1"/>
    <n v="1320"/>
    <n v="25080"/>
    <n v="12"/>
    <s v="OfficePro"/>
  </r>
  <r>
    <s v="P00114"/>
    <d v="2025-01-27T00:00:00"/>
    <x v="0"/>
    <x v="0"/>
    <n v="169"/>
    <n v="61"/>
    <n v="7"/>
    <n v="223"/>
    <x v="1"/>
    <n v="2883"/>
    <n v="20181"/>
    <n v="12"/>
    <s v="TechSupply"/>
  </r>
  <r>
    <s v="P00012"/>
    <d v="2025-01-29T00:00:00"/>
    <x v="0"/>
    <x v="8"/>
    <n v="157"/>
    <n v="4"/>
    <n v="51"/>
    <n v="110"/>
    <x v="0"/>
    <n v="573"/>
    <n v="29223"/>
    <n v="20"/>
    <s v="BureauPlus"/>
  </r>
  <r>
    <s v="P00464"/>
    <d v="2025-01-30T00:00:00"/>
    <x v="0"/>
    <x v="9"/>
    <n v="165"/>
    <n v="11"/>
    <n v="59"/>
    <n v="117"/>
    <x v="1"/>
    <n v="1789"/>
    <n v="105551"/>
    <n v="10"/>
    <s v="BureauPlus"/>
  </r>
  <r>
    <s v="P00183"/>
    <d v="2025-02-01T00:00:00"/>
    <x v="1"/>
    <x v="7"/>
    <n v="285"/>
    <n v="51"/>
    <n v="27"/>
    <n v="309"/>
    <x v="1"/>
    <n v="6310"/>
    <n v="170370"/>
    <n v="8"/>
    <s v="Atlas Electronics"/>
  </r>
  <r>
    <s v="P00439"/>
    <d v="2025-02-02T00:00:00"/>
    <x v="1"/>
    <x v="8"/>
    <n v="447"/>
    <n v="68"/>
    <n v="25"/>
    <n v="490"/>
    <x v="0"/>
    <n v="473"/>
    <n v="11825"/>
    <n v="20"/>
    <s v="OfficePro"/>
  </r>
  <r>
    <s v="P00248"/>
    <d v="2025-02-04T00:00:00"/>
    <x v="1"/>
    <x v="8"/>
    <n v="216"/>
    <n v="30"/>
    <n v="46"/>
    <n v="200"/>
    <x v="1"/>
    <n v="893"/>
    <n v="41078"/>
    <n v="20"/>
    <s v="BureauPlus"/>
  </r>
  <r>
    <s v="P00459"/>
    <d v="2025-02-04T00:00:00"/>
    <x v="1"/>
    <x v="6"/>
    <n v="47"/>
    <n v="33"/>
    <n v="13"/>
    <n v="67"/>
    <x v="1"/>
    <n v="160"/>
    <n v="2080"/>
    <n v="25"/>
    <s v="SmartDistrib"/>
  </r>
  <r>
    <s v="P00149"/>
    <d v="2025-02-05T00:00:00"/>
    <x v="1"/>
    <x v="6"/>
    <n v="160"/>
    <n v="80"/>
    <n v="43"/>
    <n v="197"/>
    <x v="4"/>
    <n v="414"/>
    <n v="17802"/>
    <n v="25"/>
    <s v="Atlas Electronics"/>
  </r>
  <r>
    <s v="P00041"/>
    <d v="2025-02-05T00:00:00"/>
    <x v="1"/>
    <x v="0"/>
    <n v="344"/>
    <n v="8"/>
    <n v="43"/>
    <n v="309"/>
    <x v="4"/>
    <n v="2965"/>
    <n v="127495"/>
    <n v="12"/>
    <s v="TechSupply"/>
  </r>
  <r>
    <s v="P00097"/>
    <d v="2025-02-05T00:00:00"/>
    <x v="1"/>
    <x v="8"/>
    <n v="299"/>
    <n v="82"/>
    <n v="21"/>
    <n v="360"/>
    <x v="0"/>
    <n v="262"/>
    <n v="5502"/>
    <n v="20"/>
    <s v="BureauPlus"/>
  </r>
  <r>
    <s v="P00184"/>
    <d v="2025-02-07T00:00:00"/>
    <x v="1"/>
    <x v="5"/>
    <n v="500"/>
    <n v="10"/>
    <n v="20"/>
    <n v="490"/>
    <x v="1"/>
    <n v="155"/>
    <n v="3100"/>
    <n v="30"/>
    <s v="TechSupply"/>
  </r>
  <r>
    <s v="P00115"/>
    <d v="2025-02-07T00:00:00"/>
    <x v="1"/>
    <x v="5"/>
    <n v="335"/>
    <n v="80"/>
    <n v="43"/>
    <n v="372"/>
    <x v="4"/>
    <n v="107"/>
    <n v="4601"/>
    <n v="30"/>
    <s v="TechSupply"/>
  </r>
  <r>
    <s v="P00402"/>
    <d v="2025-02-07T00:00:00"/>
    <x v="1"/>
    <x v="2"/>
    <n v="269"/>
    <n v="76"/>
    <n v="30"/>
    <n v="315"/>
    <x v="0"/>
    <n v="1792"/>
    <n v="53760"/>
    <n v="12"/>
    <s v="BureauPlus"/>
  </r>
  <r>
    <s v="P00267"/>
    <d v="2025-02-07T00:00:00"/>
    <x v="1"/>
    <x v="0"/>
    <n v="271"/>
    <n v="22"/>
    <n v="57"/>
    <n v="236"/>
    <x v="0"/>
    <n v="2660"/>
    <n v="151620"/>
    <n v="12"/>
    <s v="SmartDistrib"/>
  </r>
  <r>
    <s v="P00437"/>
    <d v="2025-02-08T00:00:00"/>
    <x v="1"/>
    <x v="5"/>
    <n v="364"/>
    <n v="98"/>
    <n v="5"/>
    <n v="457"/>
    <x v="3"/>
    <n v="286"/>
    <n v="1430"/>
    <n v="30"/>
    <s v="SmartDistrib"/>
  </r>
  <r>
    <s v="P00446"/>
    <d v="2025-02-09T00:00:00"/>
    <x v="1"/>
    <x v="5"/>
    <n v="107"/>
    <n v="75"/>
    <n v="14"/>
    <n v="168"/>
    <x v="0"/>
    <n v="345"/>
    <n v="4830"/>
    <n v="30"/>
    <s v="TechSupply"/>
  </r>
  <r>
    <s v="P00462"/>
    <d v="2025-02-10T00:00:00"/>
    <x v="1"/>
    <x v="1"/>
    <n v="301"/>
    <n v="26"/>
    <n v="51"/>
    <n v="276"/>
    <x v="3"/>
    <n v="1018"/>
    <n v="51918"/>
    <n v="8"/>
    <s v="SmartDistrib"/>
  </r>
  <r>
    <s v="P00224"/>
    <d v="2025-02-11T00:00:00"/>
    <x v="1"/>
    <x v="8"/>
    <n v="338"/>
    <n v="84"/>
    <n v="9"/>
    <n v="413"/>
    <x v="2"/>
    <n v="608"/>
    <n v="5472"/>
    <n v="20"/>
    <s v="BureauPlus"/>
  </r>
  <r>
    <s v="P00280"/>
    <d v="2025-02-11T00:00:00"/>
    <x v="1"/>
    <x v="7"/>
    <n v="63"/>
    <n v="82"/>
    <n v="49"/>
    <n v="96"/>
    <x v="2"/>
    <n v="5862"/>
    <n v="287238"/>
    <n v="8"/>
    <s v="TechSupply"/>
  </r>
  <r>
    <s v="P00126"/>
    <d v="2025-02-11T00:00:00"/>
    <x v="1"/>
    <x v="5"/>
    <n v="346"/>
    <n v="5"/>
    <n v="56"/>
    <n v="295"/>
    <x v="2"/>
    <n v="301"/>
    <n v="16856"/>
    <n v="30"/>
    <s v="SmartDistrib"/>
  </r>
  <r>
    <s v="P00220"/>
    <d v="2025-02-13T00:00:00"/>
    <x v="1"/>
    <x v="8"/>
    <n v="298"/>
    <n v="82"/>
    <n v="11"/>
    <n v="369"/>
    <x v="4"/>
    <n v="290"/>
    <n v="3190"/>
    <n v="20"/>
    <s v="BureauPlus"/>
  </r>
  <r>
    <s v="P00002"/>
    <d v="2025-02-14T00:00:00"/>
    <x v="1"/>
    <x v="4"/>
    <n v="342"/>
    <n v="54"/>
    <n v="2"/>
    <n v="394"/>
    <x v="1"/>
    <n v="47"/>
    <n v="94"/>
    <n v="35"/>
    <s v="TechSupply"/>
  </r>
  <r>
    <s v="P00452"/>
    <d v="2025-02-14T00:00:00"/>
    <x v="1"/>
    <x v="9"/>
    <n v="499"/>
    <n v="12"/>
    <n v="8"/>
    <n v="503"/>
    <x v="3"/>
    <n v="1152"/>
    <n v="9216"/>
    <n v="10"/>
    <s v="BureauPlus"/>
  </r>
  <r>
    <s v="P00272"/>
    <d v="2025-02-14T00:00:00"/>
    <x v="1"/>
    <x v="6"/>
    <n v="73"/>
    <n v="39"/>
    <n v="25"/>
    <n v="87"/>
    <x v="3"/>
    <n v="610"/>
    <n v="15250"/>
    <n v="25"/>
    <s v="SmartDistrib"/>
  </r>
  <r>
    <s v="P00476"/>
    <d v="2025-02-14T00:00:00"/>
    <x v="1"/>
    <x v="8"/>
    <n v="323"/>
    <n v="58"/>
    <n v="0"/>
    <n v="381"/>
    <x v="4"/>
    <n v="627"/>
    <n v="0"/>
    <n v="20"/>
    <s v="BureauPlus"/>
  </r>
  <r>
    <s v="P00132"/>
    <d v="2025-02-15T00:00:00"/>
    <x v="1"/>
    <x v="5"/>
    <n v="201"/>
    <n v="32"/>
    <n v="20"/>
    <n v="213"/>
    <x v="0"/>
    <n v="139"/>
    <n v="2780"/>
    <n v="30"/>
    <s v="TechSupply"/>
  </r>
  <r>
    <s v="P00127"/>
    <d v="2025-02-16T00:00:00"/>
    <x v="1"/>
    <x v="7"/>
    <n v="157"/>
    <n v="86"/>
    <n v="53"/>
    <n v="190"/>
    <x v="3"/>
    <n v="5856"/>
    <n v="310368"/>
    <n v="8"/>
    <s v="TechSupply"/>
  </r>
  <r>
    <s v="P00289"/>
    <d v="2025-02-16T00:00:00"/>
    <x v="1"/>
    <x v="7"/>
    <n v="241"/>
    <n v="64"/>
    <n v="29"/>
    <n v="276"/>
    <x v="4"/>
    <n v="4486"/>
    <n v="130094"/>
    <n v="8"/>
    <s v="Atlas Electronics"/>
  </r>
  <r>
    <s v="P00190"/>
    <d v="2025-02-17T00:00:00"/>
    <x v="1"/>
    <x v="3"/>
    <n v="261"/>
    <n v="12"/>
    <n v="47"/>
    <n v="226"/>
    <x v="4"/>
    <n v="3326"/>
    <n v="156322"/>
    <n v="15"/>
    <s v="Atlas Electronics"/>
  </r>
  <r>
    <s v="P00223"/>
    <d v="2025-02-18T00:00:00"/>
    <x v="1"/>
    <x v="8"/>
    <n v="325"/>
    <n v="86"/>
    <n v="24"/>
    <n v="387"/>
    <x v="2"/>
    <n v="540"/>
    <n v="12960"/>
    <n v="20"/>
    <s v="OfficePro"/>
  </r>
  <r>
    <s v="P00006"/>
    <d v="2025-02-19T00:00:00"/>
    <x v="1"/>
    <x v="2"/>
    <n v="223"/>
    <n v="44"/>
    <n v="38"/>
    <n v="229"/>
    <x v="1"/>
    <n v="1141"/>
    <n v="43358"/>
    <n v="12"/>
    <s v="BureauPlus"/>
  </r>
  <r>
    <s v="P00372"/>
    <d v="2025-02-19T00:00:00"/>
    <x v="1"/>
    <x v="3"/>
    <n v="308"/>
    <n v="19"/>
    <n v="15"/>
    <n v="312"/>
    <x v="3"/>
    <n v="2586"/>
    <n v="38790"/>
    <n v="15"/>
    <s v="SmartDistrib"/>
  </r>
  <r>
    <s v="P00406"/>
    <d v="2025-02-20T00:00:00"/>
    <x v="1"/>
    <x v="7"/>
    <n v="172"/>
    <n v="28"/>
    <n v="32"/>
    <n v="168"/>
    <x v="3"/>
    <n v="5624"/>
    <n v="179968"/>
    <n v="8"/>
    <s v="TechSupply"/>
  </r>
  <r>
    <s v="P00382"/>
    <d v="2025-02-20T00:00:00"/>
    <x v="1"/>
    <x v="7"/>
    <n v="263"/>
    <n v="29"/>
    <n v="53"/>
    <n v="239"/>
    <x v="2"/>
    <n v="3811"/>
    <n v="201983"/>
    <n v="8"/>
    <s v="Atlas Electronics"/>
  </r>
  <r>
    <s v="P00150"/>
    <d v="2025-02-20T00:00:00"/>
    <x v="1"/>
    <x v="2"/>
    <n v="429"/>
    <n v="81"/>
    <n v="45"/>
    <n v="465"/>
    <x v="0"/>
    <n v="805"/>
    <n v="36225"/>
    <n v="12"/>
    <s v="OfficePro"/>
  </r>
  <r>
    <s v="P00009"/>
    <d v="2025-02-21T00:00:00"/>
    <x v="1"/>
    <x v="9"/>
    <n v="234"/>
    <n v="35"/>
    <n v="29"/>
    <n v="240"/>
    <x v="2"/>
    <n v="2201"/>
    <n v="63829"/>
    <n v="10"/>
    <s v="TechSupply"/>
  </r>
  <r>
    <s v="P00315"/>
    <d v="2025-02-21T00:00:00"/>
    <x v="1"/>
    <x v="5"/>
    <n v="388"/>
    <n v="98"/>
    <n v="8"/>
    <n v="478"/>
    <x v="3"/>
    <n v="82"/>
    <n v="656"/>
    <n v="30"/>
    <s v="TechSupply"/>
  </r>
  <r>
    <s v="P00388"/>
    <d v="2025-02-22T00:00:00"/>
    <x v="1"/>
    <x v="1"/>
    <n v="107"/>
    <n v="11"/>
    <n v="11"/>
    <n v="107"/>
    <x v="0"/>
    <n v="1582"/>
    <n v="17402"/>
    <n v="8"/>
    <s v="SmartDistrib"/>
  </r>
  <r>
    <s v="P00257"/>
    <d v="2025-02-22T00:00:00"/>
    <x v="1"/>
    <x v="8"/>
    <n v="80"/>
    <n v="41"/>
    <n v="42"/>
    <n v="79"/>
    <x v="2"/>
    <n v="552"/>
    <n v="23184"/>
    <n v="20"/>
    <s v="BureauPlus"/>
  </r>
  <r>
    <s v="P00020"/>
    <d v="2025-02-24T00:00:00"/>
    <x v="1"/>
    <x v="4"/>
    <n v="485"/>
    <n v="80"/>
    <n v="19"/>
    <n v="546"/>
    <x v="3"/>
    <n v="203"/>
    <n v="3857"/>
    <n v="35"/>
    <s v="TechSupply"/>
  </r>
  <r>
    <s v="P00387"/>
    <d v="2025-02-24T00:00:00"/>
    <x v="1"/>
    <x v="8"/>
    <n v="86"/>
    <n v="0"/>
    <n v="60"/>
    <n v="26"/>
    <x v="0"/>
    <n v="565"/>
    <n v="33900"/>
    <n v="20"/>
    <s v="BureauPlus"/>
  </r>
  <r>
    <s v="P00209"/>
    <d v="2025-02-24T00:00:00"/>
    <x v="1"/>
    <x v="2"/>
    <n v="164"/>
    <n v="55"/>
    <n v="37"/>
    <n v="182"/>
    <x v="3"/>
    <n v="1420"/>
    <n v="52540"/>
    <n v="12"/>
    <s v="OfficePro"/>
  </r>
  <r>
    <s v="P00033"/>
    <d v="2025-02-25T00:00:00"/>
    <x v="1"/>
    <x v="8"/>
    <n v="167"/>
    <n v="24"/>
    <n v="12"/>
    <n v="179"/>
    <x v="0"/>
    <n v="799"/>
    <n v="9588"/>
    <n v="20"/>
    <s v="OfficePro"/>
  </r>
  <r>
    <s v="P00313"/>
    <d v="2025-02-25T00:00:00"/>
    <x v="1"/>
    <x v="0"/>
    <n v="355"/>
    <n v="94"/>
    <n v="37"/>
    <n v="412"/>
    <x v="4"/>
    <n v="1690"/>
    <n v="62530"/>
    <n v="12"/>
    <s v="SmartDistrib"/>
  </r>
  <r>
    <s v="P00486"/>
    <d v="2025-02-25T00:00:00"/>
    <x v="1"/>
    <x v="6"/>
    <n v="119"/>
    <n v="13"/>
    <n v="10"/>
    <n v="122"/>
    <x v="0"/>
    <n v="580"/>
    <n v="5800"/>
    <n v="25"/>
    <s v="SmartDistrib"/>
  </r>
  <r>
    <s v="P00094"/>
    <d v="2025-02-25T00:00:00"/>
    <x v="1"/>
    <x v="1"/>
    <n v="336"/>
    <n v="3"/>
    <n v="59"/>
    <n v="280"/>
    <x v="3"/>
    <n v="1338"/>
    <n v="78942"/>
    <n v="8"/>
    <s v="SmartDistrib"/>
  </r>
  <r>
    <s v="P00016"/>
    <d v="2025-02-26T00:00:00"/>
    <x v="1"/>
    <x v="7"/>
    <n v="118"/>
    <n v="80"/>
    <n v="10"/>
    <n v="188"/>
    <x v="0"/>
    <n v="6287"/>
    <n v="62870"/>
    <n v="8"/>
    <s v="TechSupply"/>
  </r>
  <r>
    <s v="P00428"/>
    <d v="2025-02-28T00:00:00"/>
    <x v="1"/>
    <x v="6"/>
    <n v="177"/>
    <n v="99"/>
    <n v="34"/>
    <n v="242"/>
    <x v="3"/>
    <n v="495"/>
    <n v="16830"/>
    <n v="25"/>
    <s v="Atlas Electronics"/>
  </r>
  <r>
    <s v="P00418"/>
    <d v="2025-02-28T00:00:00"/>
    <x v="1"/>
    <x v="6"/>
    <n v="218"/>
    <n v="45"/>
    <n v="54"/>
    <n v="209"/>
    <x v="3"/>
    <n v="588"/>
    <n v="31752"/>
    <n v="25"/>
    <s v="Atlas Electronics"/>
  </r>
  <r>
    <s v="P00170"/>
    <d v="2025-03-01T00:00:00"/>
    <x v="2"/>
    <x v="5"/>
    <n v="89"/>
    <n v="30"/>
    <n v="56"/>
    <n v="63"/>
    <x v="0"/>
    <n v="149"/>
    <n v="8344"/>
    <n v="30"/>
    <s v="SmartDistrib"/>
  </r>
  <r>
    <s v="P00341"/>
    <d v="2025-03-02T00:00:00"/>
    <x v="2"/>
    <x v="8"/>
    <n v="131"/>
    <n v="68"/>
    <n v="25"/>
    <n v="174"/>
    <x v="4"/>
    <n v="791"/>
    <n v="19775"/>
    <n v="20"/>
    <s v="OfficePro"/>
  </r>
  <r>
    <s v="P00487"/>
    <d v="2025-03-03T00:00:00"/>
    <x v="2"/>
    <x v="2"/>
    <n v="314"/>
    <n v="45"/>
    <n v="49"/>
    <n v="310"/>
    <x v="0"/>
    <n v="1025"/>
    <n v="50225"/>
    <n v="12"/>
    <s v="BureauPlus"/>
  </r>
  <r>
    <s v="P00096"/>
    <d v="2025-03-03T00:00:00"/>
    <x v="2"/>
    <x v="6"/>
    <n v="447"/>
    <n v="72"/>
    <n v="50"/>
    <n v="469"/>
    <x v="2"/>
    <n v="162"/>
    <n v="8100"/>
    <n v="25"/>
    <s v="SmartDistrib"/>
  </r>
  <r>
    <s v="P00135"/>
    <d v="2025-03-04T00:00:00"/>
    <x v="2"/>
    <x v="5"/>
    <n v="54"/>
    <n v="80"/>
    <n v="38"/>
    <n v="96"/>
    <x v="4"/>
    <n v="202"/>
    <n v="7676"/>
    <n v="30"/>
    <s v="SmartDistrib"/>
  </r>
  <r>
    <s v="P00492"/>
    <d v="2025-03-04T00:00:00"/>
    <x v="2"/>
    <x v="0"/>
    <n v="46"/>
    <n v="7"/>
    <n v="53"/>
    <n v="0"/>
    <x v="4"/>
    <n v="2799"/>
    <n v="148347"/>
    <n v="12"/>
    <s v="SmartDistrib"/>
  </r>
  <r>
    <s v="P00495"/>
    <d v="2025-03-04T00:00:00"/>
    <x v="2"/>
    <x v="8"/>
    <n v="61"/>
    <n v="59"/>
    <n v="3"/>
    <n v="117"/>
    <x v="3"/>
    <n v="422"/>
    <n v="1266"/>
    <n v="20"/>
    <s v="BureauPlus"/>
  </r>
  <r>
    <s v="P00310"/>
    <d v="2025-03-04T00:00:00"/>
    <x v="2"/>
    <x v="1"/>
    <n v="333"/>
    <n v="86"/>
    <n v="34"/>
    <n v="385"/>
    <x v="0"/>
    <n v="1477"/>
    <n v="50218"/>
    <n v="8"/>
    <s v="SmartDistrib"/>
  </r>
  <r>
    <s v="P00007"/>
    <d v="2025-03-05T00:00:00"/>
    <x v="2"/>
    <x v="4"/>
    <n v="233"/>
    <n v="10"/>
    <n v="35"/>
    <n v="208"/>
    <x v="3"/>
    <n v="115"/>
    <n v="4025"/>
    <n v="35"/>
    <s v="SmartDistrib"/>
  </r>
  <r>
    <s v="P00092"/>
    <d v="2025-03-06T00:00:00"/>
    <x v="2"/>
    <x v="9"/>
    <n v="282"/>
    <n v="85"/>
    <n v="7"/>
    <n v="360"/>
    <x v="4"/>
    <n v="2055"/>
    <n v="14385"/>
    <n v="10"/>
    <s v="BureauPlus"/>
  </r>
  <r>
    <s v="P00176"/>
    <d v="2025-03-06T00:00:00"/>
    <x v="2"/>
    <x v="9"/>
    <n v="442"/>
    <n v="72"/>
    <n v="13"/>
    <n v="501"/>
    <x v="3"/>
    <n v="1040"/>
    <n v="13520"/>
    <n v="10"/>
    <s v="TechSupply"/>
  </r>
  <r>
    <s v="P00230"/>
    <d v="2025-03-09T00:00:00"/>
    <x v="2"/>
    <x v="6"/>
    <n v="345"/>
    <n v="48"/>
    <n v="9"/>
    <n v="384"/>
    <x v="4"/>
    <n v="286"/>
    <n v="2574"/>
    <n v="25"/>
    <s v="Atlas Electronics"/>
  </r>
  <r>
    <s v="P00030"/>
    <d v="2025-03-09T00:00:00"/>
    <x v="2"/>
    <x v="4"/>
    <n v="410"/>
    <n v="73"/>
    <n v="36"/>
    <n v="447"/>
    <x v="4"/>
    <n v="161"/>
    <n v="5796"/>
    <n v="35"/>
    <s v="SmartDistrib"/>
  </r>
  <r>
    <s v="P00424"/>
    <d v="2025-03-11T00:00:00"/>
    <x v="2"/>
    <x v="5"/>
    <n v="139"/>
    <n v="49"/>
    <n v="35"/>
    <n v="153"/>
    <x v="0"/>
    <n v="338"/>
    <n v="11830"/>
    <n v="30"/>
    <s v="SmartDistrib"/>
  </r>
  <r>
    <s v="P00499"/>
    <d v="2025-03-12T00:00:00"/>
    <x v="2"/>
    <x v="2"/>
    <n v="254"/>
    <n v="25"/>
    <n v="41"/>
    <n v="238"/>
    <x v="4"/>
    <n v="1676"/>
    <n v="68716"/>
    <n v="12"/>
    <s v="OfficePro"/>
  </r>
  <r>
    <s v="P00204"/>
    <d v="2025-03-12T00:00:00"/>
    <x v="2"/>
    <x v="9"/>
    <n v="431"/>
    <n v="32"/>
    <n v="18"/>
    <n v="445"/>
    <x v="1"/>
    <n v="1571"/>
    <n v="28278"/>
    <n v="10"/>
    <s v="TechSupply"/>
  </r>
  <r>
    <s v="P00368"/>
    <d v="2025-03-12T00:00:00"/>
    <x v="2"/>
    <x v="2"/>
    <n v="471"/>
    <n v="80"/>
    <n v="14"/>
    <n v="537"/>
    <x v="4"/>
    <n v="739"/>
    <n v="10346"/>
    <n v="12"/>
    <s v="OfficePro"/>
  </r>
  <r>
    <s v="P00381"/>
    <d v="2025-03-13T00:00:00"/>
    <x v="2"/>
    <x v="2"/>
    <n v="444"/>
    <n v="88"/>
    <n v="46"/>
    <n v="486"/>
    <x v="3"/>
    <n v="760"/>
    <n v="34960"/>
    <n v="12"/>
    <s v="BureauPlus"/>
  </r>
  <r>
    <s v="P00401"/>
    <d v="2025-03-13T00:00:00"/>
    <x v="2"/>
    <x v="5"/>
    <n v="364"/>
    <n v="38"/>
    <n v="15"/>
    <n v="387"/>
    <x v="4"/>
    <n v="209"/>
    <n v="3135"/>
    <n v="30"/>
    <s v="SmartDistrib"/>
  </r>
  <r>
    <s v="P00197"/>
    <d v="2025-03-14T00:00:00"/>
    <x v="2"/>
    <x v="3"/>
    <n v="419"/>
    <n v="81"/>
    <n v="1"/>
    <n v="499"/>
    <x v="3"/>
    <n v="2175"/>
    <n v="2175"/>
    <n v="15"/>
    <s v="Atlas Electronics"/>
  </r>
  <r>
    <s v="P00349"/>
    <d v="2025-03-15T00:00:00"/>
    <x v="2"/>
    <x v="1"/>
    <n v="378"/>
    <n v="66"/>
    <n v="14"/>
    <n v="430"/>
    <x v="2"/>
    <n v="1546"/>
    <n v="21644"/>
    <n v="8"/>
    <s v="SmartDistrib"/>
  </r>
  <r>
    <s v="P00014"/>
    <d v="2025-03-15T00:00:00"/>
    <x v="2"/>
    <x v="5"/>
    <n v="175"/>
    <n v="17"/>
    <n v="15"/>
    <n v="177"/>
    <x v="3"/>
    <n v="214"/>
    <n v="3210"/>
    <n v="30"/>
    <s v="SmartDistrib"/>
  </r>
  <r>
    <s v="P00284"/>
    <d v="2025-03-15T00:00:00"/>
    <x v="2"/>
    <x v="6"/>
    <n v="200"/>
    <n v="91"/>
    <n v="20"/>
    <n v="271"/>
    <x v="0"/>
    <n v="473"/>
    <n v="9460"/>
    <n v="25"/>
    <s v="Atlas Electronics"/>
  </r>
  <r>
    <s v="P00178"/>
    <d v="2025-03-16T00:00:00"/>
    <x v="2"/>
    <x v="1"/>
    <n v="106"/>
    <n v="69"/>
    <n v="16"/>
    <n v="159"/>
    <x v="1"/>
    <n v="1057"/>
    <n v="16912"/>
    <n v="8"/>
    <s v="BureauPlus"/>
  </r>
  <r>
    <s v="P00352"/>
    <d v="2025-03-18T00:00:00"/>
    <x v="2"/>
    <x v="2"/>
    <n v="193"/>
    <n v="48"/>
    <n v="11"/>
    <n v="230"/>
    <x v="0"/>
    <n v="1701"/>
    <n v="18711"/>
    <n v="12"/>
    <s v="OfficePro"/>
  </r>
  <r>
    <s v="P00056"/>
    <d v="2025-03-21T00:00:00"/>
    <x v="2"/>
    <x v="6"/>
    <n v="161"/>
    <n v="20"/>
    <n v="51"/>
    <n v="130"/>
    <x v="0"/>
    <n v="301"/>
    <n v="15351"/>
    <n v="25"/>
    <s v="Atlas Electronics"/>
  </r>
  <r>
    <s v="P00047"/>
    <d v="2025-03-22T00:00:00"/>
    <x v="2"/>
    <x v="1"/>
    <n v="264"/>
    <n v="69"/>
    <n v="45"/>
    <n v="288"/>
    <x v="3"/>
    <n v="1319"/>
    <n v="59355"/>
    <n v="8"/>
    <s v="BureauPlus"/>
  </r>
  <r>
    <s v="P00442"/>
    <d v="2025-03-22T00:00:00"/>
    <x v="2"/>
    <x v="3"/>
    <n v="265"/>
    <n v="58"/>
    <n v="0"/>
    <n v="323"/>
    <x v="4"/>
    <n v="3552"/>
    <n v="0"/>
    <n v="15"/>
    <s v="Atlas Electronics"/>
  </r>
  <r>
    <s v="P00283"/>
    <d v="2025-03-22T00:00:00"/>
    <x v="2"/>
    <x v="7"/>
    <n v="265"/>
    <n v="53"/>
    <n v="30"/>
    <n v="288"/>
    <x v="4"/>
    <n v="5402"/>
    <n v="162060"/>
    <n v="8"/>
    <s v="Atlas Electronics"/>
  </r>
  <r>
    <s v="P00269"/>
    <d v="2025-03-22T00:00:00"/>
    <x v="2"/>
    <x v="1"/>
    <n v="404"/>
    <n v="90"/>
    <n v="59"/>
    <n v="435"/>
    <x v="4"/>
    <n v="2134"/>
    <n v="125906"/>
    <n v="8"/>
    <s v="SmartDistrib"/>
  </r>
  <r>
    <s v="P00288"/>
    <d v="2025-03-23T00:00:00"/>
    <x v="2"/>
    <x v="9"/>
    <n v="295"/>
    <n v="65"/>
    <n v="29"/>
    <n v="331"/>
    <x v="2"/>
    <n v="1921"/>
    <n v="55709"/>
    <n v="10"/>
    <s v="BureauPlus"/>
  </r>
  <r>
    <s v="P00443"/>
    <d v="2025-03-23T00:00:00"/>
    <x v="2"/>
    <x v="1"/>
    <n v="487"/>
    <n v="35"/>
    <n v="5"/>
    <n v="517"/>
    <x v="2"/>
    <n v="2040"/>
    <n v="10200"/>
    <n v="8"/>
    <s v="SmartDistrib"/>
  </r>
  <r>
    <s v="P00236"/>
    <d v="2025-03-24T00:00:00"/>
    <x v="2"/>
    <x v="3"/>
    <n v="179"/>
    <n v="57"/>
    <n v="57"/>
    <n v="179"/>
    <x v="4"/>
    <n v="3902"/>
    <n v="222414"/>
    <n v="15"/>
    <s v="SmartDistrib"/>
  </r>
  <r>
    <s v="P00380"/>
    <d v="2025-03-25T00:00:00"/>
    <x v="2"/>
    <x v="1"/>
    <n v="328"/>
    <n v="30"/>
    <n v="36"/>
    <n v="322"/>
    <x v="3"/>
    <n v="1496"/>
    <n v="53856"/>
    <n v="8"/>
    <s v="SmartDistrib"/>
  </r>
  <r>
    <s v="P00276"/>
    <d v="2025-03-26T00:00:00"/>
    <x v="2"/>
    <x v="1"/>
    <n v="122"/>
    <n v="41"/>
    <n v="59"/>
    <n v="104"/>
    <x v="4"/>
    <n v="2152"/>
    <n v="126968"/>
    <n v="8"/>
    <s v="SmartDistrib"/>
  </r>
  <r>
    <s v="P00124"/>
    <d v="2025-03-26T00:00:00"/>
    <x v="2"/>
    <x v="7"/>
    <n v="445"/>
    <n v="39"/>
    <n v="38"/>
    <n v="446"/>
    <x v="2"/>
    <n v="5831"/>
    <n v="221578"/>
    <n v="8"/>
    <s v="Atlas Electronics"/>
  </r>
  <r>
    <s v="P00086"/>
    <d v="2025-03-26T00:00:00"/>
    <x v="2"/>
    <x v="2"/>
    <n v="470"/>
    <n v="59"/>
    <n v="58"/>
    <n v="471"/>
    <x v="3"/>
    <n v="861"/>
    <n v="49938"/>
    <n v="12"/>
    <s v="OfficePro"/>
  </r>
  <r>
    <s v="P00153"/>
    <d v="2025-03-31T00:00:00"/>
    <x v="2"/>
    <x v="0"/>
    <n v="80"/>
    <n v="78"/>
    <n v="55"/>
    <n v="103"/>
    <x v="3"/>
    <n v="1983"/>
    <n v="109065"/>
    <n v="12"/>
    <s v="SmartDistrib"/>
  </r>
  <r>
    <s v="P00213"/>
    <d v="2025-04-01T00:00:00"/>
    <x v="3"/>
    <x v="3"/>
    <n v="435"/>
    <n v="80"/>
    <n v="31"/>
    <n v="484"/>
    <x v="3"/>
    <n v="3700"/>
    <n v="114700"/>
    <n v="15"/>
    <s v="SmartDistrib"/>
  </r>
  <r>
    <s v="P00075"/>
    <d v="2025-04-01T00:00:00"/>
    <x v="3"/>
    <x v="9"/>
    <n v="451"/>
    <n v="89"/>
    <n v="33"/>
    <n v="507"/>
    <x v="1"/>
    <n v="1851"/>
    <n v="61083"/>
    <n v="10"/>
    <s v="TechSupply"/>
  </r>
  <r>
    <s v="P00129"/>
    <d v="2025-04-03T00:00:00"/>
    <x v="3"/>
    <x v="1"/>
    <n v="339"/>
    <n v="55"/>
    <n v="40"/>
    <n v="354"/>
    <x v="1"/>
    <n v="1707"/>
    <n v="68280"/>
    <n v="8"/>
    <s v="SmartDistrib"/>
  </r>
  <r>
    <s v="P00088"/>
    <d v="2025-04-04T00:00:00"/>
    <x v="3"/>
    <x v="5"/>
    <n v="65"/>
    <n v="33"/>
    <n v="24"/>
    <n v="74"/>
    <x v="4"/>
    <n v="247"/>
    <n v="5928"/>
    <n v="30"/>
    <s v="SmartDistrib"/>
  </r>
  <r>
    <s v="P00034"/>
    <d v="2025-04-04T00:00:00"/>
    <x v="3"/>
    <x v="2"/>
    <n v="182"/>
    <n v="59"/>
    <n v="15"/>
    <n v="226"/>
    <x v="0"/>
    <n v="754"/>
    <n v="11310"/>
    <n v="12"/>
    <s v="OfficePro"/>
  </r>
  <r>
    <s v="P00319"/>
    <d v="2025-04-06T00:00:00"/>
    <x v="3"/>
    <x v="5"/>
    <n v="423"/>
    <n v="37"/>
    <n v="56"/>
    <n v="404"/>
    <x v="1"/>
    <n v="99"/>
    <n v="5544"/>
    <n v="30"/>
    <s v="SmartDistrib"/>
  </r>
  <r>
    <s v="P00416"/>
    <d v="2025-04-06T00:00:00"/>
    <x v="3"/>
    <x v="4"/>
    <n v="227"/>
    <n v="41"/>
    <n v="12"/>
    <n v="256"/>
    <x v="1"/>
    <n v="157"/>
    <n v="1884"/>
    <n v="35"/>
    <s v="SmartDistrib"/>
  </r>
  <r>
    <s v="P00497"/>
    <d v="2025-04-06T00:00:00"/>
    <x v="3"/>
    <x v="9"/>
    <n v="180"/>
    <n v="35"/>
    <n v="28"/>
    <n v="187"/>
    <x v="1"/>
    <n v="1204"/>
    <n v="33712"/>
    <n v="10"/>
    <s v="TechSupply"/>
  </r>
  <r>
    <s v="P00423"/>
    <d v="2025-04-06T00:00:00"/>
    <x v="3"/>
    <x v="0"/>
    <n v="201"/>
    <n v="57"/>
    <n v="39"/>
    <n v="219"/>
    <x v="2"/>
    <n v="1309"/>
    <n v="51051"/>
    <n v="12"/>
    <s v="SmartDistrib"/>
  </r>
  <r>
    <s v="P00344"/>
    <d v="2025-04-07T00:00:00"/>
    <x v="3"/>
    <x v="1"/>
    <n v="488"/>
    <n v="92"/>
    <n v="48"/>
    <n v="532"/>
    <x v="1"/>
    <n v="931"/>
    <n v="44688"/>
    <n v="8"/>
    <s v="SmartDistrib"/>
  </r>
  <r>
    <s v="P00031"/>
    <d v="2025-04-08T00:00:00"/>
    <x v="3"/>
    <x v="2"/>
    <n v="88"/>
    <n v="12"/>
    <n v="42"/>
    <n v="58"/>
    <x v="2"/>
    <n v="1482"/>
    <n v="62244"/>
    <n v="12"/>
    <s v="BureauPlus"/>
  </r>
  <r>
    <s v="P00104"/>
    <d v="2025-04-08T00:00:00"/>
    <x v="3"/>
    <x v="4"/>
    <n v="83"/>
    <n v="30"/>
    <n v="46"/>
    <n v="67"/>
    <x v="0"/>
    <n v="144"/>
    <n v="6624"/>
    <n v="35"/>
    <s v="TechSupply"/>
  </r>
  <r>
    <s v="P00008"/>
    <d v="2025-04-09T00:00:00"/>
    <x v="3"/>
    <x v="6"/>
    <n v="400"/>
    <n v="8"/>
    <n v="2"/>
    <n v="406"/>
    <x v="2"/>
    <n v="353"/>
    <n v="706"/>
    <n v="25"/>
    <s v="Atlas Electronics"/>
  </r>
  <r>
    <s v="P00228"/>
    <d v="2025-04-09T00:00:00"/>
    <x v="3"/>
    <x v="5"/>
    <n v="155"/>
    <n v="17"/>
    <n v="9"/>
    <n v="163"/>
    <x v="2"/>
    <n v="119"/>
    <n v="1071"/>
    <n v="30"/>
    <s v="TechSupply"/>
  </r>
  <r>
    <s v="P00364"/>
    <d v="2025-04-11T00:00:00"/>
    <x v="3"/>
    <x v="0"/>
    <n v="208"/>
    <n v="29"/>
    <n v="24"/>
    <n v="213"/>
    <x v="4"/>
    <n v="2366"/>
    <n v="56784"/>
    <n v="12"/>
    <s v="TechSupply"/>
  </r>
  <r>
    <s v="P00095"/>
    <d v="2025-04-12T00:00:00"/>
    <x v="3"/>
    <x v="2"/>
    <n v="78"/>
    <n v="75"/>
    <n v="44"/>
    <n v="109"/>
    <x v="1"/>
    <n v="1097"/>
    <n v="48268"/>
    <n v="12"/>
    <s v="BureauPlus"/>
  </r>
  <r>
    <s v="P00234"/>
    <d v="2025-04-13T00:00:00"/>
    <x v="3"/>
    <x v="0"/>
    <n v="450"/>
    <n v="77"/>
    <n v="8"/>
    <n v="519"/>
    <x v="2"/>
    <n v="2987"/>
    <n v="23896"/>
    <n v="12"/>
    <s v="SmartDistrib"/>
  </r>
  <r>
    <s v="P00432"/>
    <d v="2025-04-16T00:00:00"/>
    <x v="3"/>
    <x v="9"/>
    <n v="452"/>
    <n v="7"/>
    <n v="36"/>
    <n v="423"/>
    <x v="3"/>
    <n v="1618"/>
    <n v="58248"/>
    <n v="10"/>
    <s v="BureauPlus"/>
  </r>
  <r>
    <s v="P00013"/>
    <d v="2025-04-19T00:00:00"/>
    <x v="3"/>
    <x v="3"/>
    <n v="330"/>
    <n v="91"/>
    <n v="20"/>
    <n v="401"/>
    <x v="0"/>
    <n v="2670"/>
    <n v="53400"/>
    <n v="15"/>
    <s v="SmartDistrib"/>
  </r>
  <r>
    <s v="P00177"/>
    <d v="2025-04-21T00:00:00"/>
    <x v="3"/>
    <x v="6"/>
    <n v="456"/>
    <n v="29"/>
    <n v="21"/>
    <n v="464"/>
    <x v="3"/>
    <n v="271"/>
    <n v="5691"/>
    <n v="25"/>
    <s v="Atlas Electronics"/>
  </r>
  <r>
    <s v="P00187"/>
    <d v="2025-04-21T00:00:00"/>
    <x v="3"/>
    <x v="4"/>
    <n v="260"/>
    <n v="57"/>
    <n v="56"/>
    <n v="261"/>
    <x v="0"/>
    <n v="98"/>
    <n v="5488"/>
    <n v="35"/>
    <s v="SmartDistrib"/>
  </r>
  <r>
    <s v="P00173"/>
    <d v="2025-04-22T00:00:00"/>
    <x v="3"/>
    <x v="8"/>
    <n v="267"/>
    <n v="56"/>
    <n v="60"/>
    <n v="263"/>
    <x v="2"/>
    <n v="491"/>
    <n v="29460"/>
    <n v="20"/>
    <s v="OfficePro"/>
  </r>
  <r>
    <s v="P00203"/>
    <d v="2025-04-23T00:00:00"/>
    <x v="3"/>
    <x v="7"/>
    <n v="242"/>
    <n v="76"/>
    <n v="3"/>
    <n v="315"/>
    <x v="4"/>
    <n v="3531"/>
    <n v="10593"/>
    <n v="8"/>
    <s v="Atlas Electronics"/>
  </r>
  <r>
    <s v="P00085"/>
    <d v="2025-04-23T00:00:00"/>
    <x v="3"/>
    <x v="5"/>
    <n v="179"/>
    <n v="55"/>
    <n v="31"/>
    <n v="203"/>
    <x v="0"/>
    <n v="94"/>
    <n v="2914"/>
    <n v="30"/>
    <s v="SmartDistrib"/>
  </r>
  <r>
    <s v="P00028"/>
    <d v="2025-04-23T00:00:00"/>
    <x v="3"/>
    <x v="6"/>
    <n v="43"/>
    <n v="9"/>
    <n v="45"/>
    <n v="7"/>
    <x v="4"/>
    <n v="180"/>
    <n v="8100"/>
    <n v="25"/>
    <s v="Atlas Electronics"/>
  </r>
  <r>
    <s v="P00237"/>
    <d v="2025-04-24T00:00:00"/>
    <x v="3"/>
    <x v="3"/>
    <n v="458"/>
    <n v="57"/>
    <n v="56"/>
    <n v="459"/>
    <x v="1"/>
    <n v="3231"/>
    <n v="180936"/>
    <n v="15"/>
    <s v="SmartDistrib"/>
  </r>
  <r>
    <s v="P00270"/>
    <d v="2025-04-25T00:00:00"/>
    <x v="3"/>
    <x v="4"/>
    <n v="102"/>
    <n v="25"/>
    <n v="50"/>
    <n v="77"/>
    <x v="4"/>
    <n v="75"/>
    <n v="3750"/>
    <n v="35"/>
    <s v="SmartDistrib"/>
  </r>
  <r>
    <s v="P00314"/>
    <d v="2025-04-26T00:00:00"/>
    <x v="3"/>
    <x v="4"/>
    <n v="366"/>
    <n v="29"/>
    <n v="3"/>
    <n v="392"/>
    <x v="0"/>
    <n v="65"/>
    <n v="195"/>
    <n v="35"/>
    <s v="SmartDistrib"/>
  </r>
  <r>
    <s v="P00165"/>
    <d v="2025-04-26T00:00:00"/>
    <x v="3"/>
    <x v="0"/>
    <n v="480"/>
    <n v="86"/>
    <n v="46"/>
    <n v="520"/>
    <x v="0"/>
    <n v="2581"/>
    <n v="118726"/>
    <n v="12"/>
    <s v="TechSupply"/>
  </r>
  <r>
    <s v="P00072"/>
    <d v="2025-04-26T00:00:00"/>
    <x v="3"/>
    <x v="1"/>
    <n v="452"/>
    <n v="25"/>
    <n v="9"/>
    <n v="468"/>
    <x v="1"/>
    <n v="750"/>
    <n v="6750"/>
    <n v="8"/>
    <s v="BureauPlus"/>
  </r>
  <r>
    <s v="P00111"/>
    <d v="2025-04-27T00:00:00"/>
    <x v="3"/>
    <x v="1"/>
    <n v="224"/>
    <n v="22"/>
    <n v="19"/>
    <n v="227"/>
    <x v="3"/>
    <n v="728"/>
    <n v="13832"/>
    <n v="8"/>
    <s v="BureauPlus"/>
  </r>
  <r>
    <s v="P00448"/>
    <d v="2025-04-28T00:00:00"/>
    <x v="3"/>
    <x v="3"/>
    <n v="236"/>
    <n v="11"/>
    <n v="46"/>
    <n v="201"/>
    <x v="1"/>
    <n v="2219"/>
    <n v="102074"/>
    <n v="15"/>
    <s v="SmartDistrib"/>
  </r>
  <r>
    <s v="P00482"/>
    <d v="2025-04-29T00:00:00"/>
    <x v="3"/>
    <x v="7"/>
    <n v="499"/>
    <n v="66"/>
    <n v="26"/>
    <n v="539"/>
    <x v="2"/>
    <n v="6370"/>
    <n v="165620"/>
    <n v="8"/>
    <s v="Atlas Electronics"/>
  </r>
  <r>
    <s v="P00121"/>
    <d v="2025-04-29T00:00:00"/>
    <x v="3"/>
    <x v="7"/>
    <n v="187"/>
    <n v="90"/>
    <n v="18"/>
    <n v="259"/>
    <x v="0"/>
    <n v="6379"/>
    <n v="114822"/>
    <n v="8"/>
    <s v="TechSupply"/>
  </r>
  <r>
    <s v="P00413"/>
    <d v="2025-04-29T00:00:00"/>
    <x v="3"/>
    <x v="5"/>
    <n v="448"/>
    <n v="51"/>
    <n v="40"/>
    <n v="459"/>
    <x v="4"/>
    <n v="174"/>
    <n v="6960"/>
    <n v="30"/>
    <s v="SmartDistrib"/>
  </r>
  <r>
    <s v="P00232"/>
    <d v="2025-04-30T00:00:00"/>
    <x v="3"/>
    <x v="5"/>
    <n v="313"/>
    <n v="30"/>
    <n v="19"/>
    <n v="324"/>
    <x v="4"/>
    <n v="320"/>
    <n v="6080"/>
    <n v="30"/>
    <s v="SmartDistrib"/>
  </r>
  <r>
    <s v="P00212"/>
    <d v="2025-05-01T00:00:00"/>
    <x v="4"/>
    <x v="0"/>
    <n v="92"/>
    <n v="18"/>
    <n v="16"/>
    <n v="94"/>
    <x v="4"/>
    <n v="1604"/>
    <n v="25664"/>
    <n v="12"/>
    <s v="SmartDistrib"/>
  </r>
  <r>
    <s v="P00481"/>
    <d v="2025-05-02T00:00:00"/>
    <x v="4"/>
    <x v="4"/>
    <n v="254"/>
    <n v="62"/>
    <n v="3"/>
    <n v="313"/>
    <x v="2"/>
    <n v="76"/>
    <n v="228"/>
    <n v="35"/>
    <s v="TechSupply"/>
  </r>
  <r>
    <s v="P00044"/>
    <d v="2025-05-03T00:00:00"/>
    <x v="4"/>
    <x v="8"/>
    <n v="175"/>
    <n v="50"/>
    <n v="8"/>
    <n v="217"/>
    <x v="0"/>
    <n v="557"/>
    <n v="4456"/>
    <n v="20"/>
    <s v="BureauPlus"/>
  </r>
  <r>
    <s v="P00023"/>
    <d v="2025-05-04T00:00:00"/>
    <x v="4"/>
    <x v="7"/>
    <n v="489"/>
    <n v="72"/>
    <n v="60"/>
    <n v="501"/>
    <x v="1"/>
    <n v="3822"/>
    <n v="229320"/>
    <n v="8"/>
    <s v="Atlas Electronics"/>
  </r>
  <r>
    <s v="P00374"/>
    <d v="2025-05-05T00:00:00"/>
    <x v="4"/>
    <x v="6"/>
    <n v="396"/>
    <n v="28"/>
    <n v="19"/>
    <n v="405"/>
    <x v="1"/>
    <n v="202"/>
    <n v="3838"/>
    <n v="25"/>
    <s v="Atlas Electronics"/>
  </r>
  <r>
    <s v="P00412"/>
    <d v="2025-05-05T00:00:00"/>
    <x v="4"/>
    <x v="0"/>
    <n v="304"/>
    <n v="22"/>
    <n v="35"/>
    <n v="291"/>
    <x v="2"/>
    <n v="1527"/>
    <n v="53445"/>
    <n v="12"/>
    <s v="TechSupply"/>
  </r>
  <r>
    <s v="P00011"/>
    <d v="2025-05-06T00:00:00"/>
    <x v="4"/>
    <x v="4"/>
    <n v="123"/>
    <n v="59"/>
    <n v="24"/>
    <n v="158"/>
    <x v="3"/>
    <n v="109"/>
    <n v="2616"/>
    <n v="35"/>
    <s v="TechSupply"/>
  </r>
  <r>
    <s v="P00027"/>
    <d v="2025-05-07T00:00:00"/>
    <x v="4"/>
    <x v="3"/>
    <n v="155"/>
    <n v="8"/>
    <n v="21"/>
    <n v="142"/>
    <x v="3"/>
    <n v="1886"/>
    <n v="39606"/>
    <n v="15"/>
    <s v="Atlas Electronics"/>
  </r>
  <r>
    <s v="P00308"/>
    <d v="2025-05-07T00:00:00"/>
    <x v="4"/>
    <x v="9"/>
    <n v="182"/>
    <n v="71"/>
    <n v="19"/>
    <n v="234"/>
    <x v="2"/>
    <n v="1360"/>
    <n v="25840"/>
    <n v="10"/>
    <s v="BureauPlus"/>
  </r>
  <r>
    <s v="P00404"/>
    <d v="2025-05-08T00:00:00"/>
    <x v="4"/>
    <x v="3"/>
    <n v="376"/>
    <n v="85"/>
    <n v="22"/>
    <n v="439"/>
    <x v="3"/>
    <n v="2481"/>
    <n v="54582"/>
    <n v="15"/>
    <s v="Atlas Electronics"/>
  </r>
  <r>
    <s v="P00363"/>
    <d v="2025-05-14T00:00:00"/>
    <x v="4"/>
    <x v="7"/>
    <n v="323"/>
    <n v="74"/>
    <n v="37"/>
    <n v="360"/>
    <x v="0"/>
    <n v="6449"/>
    <n v="238613"/>
    <n v="8"/>
    <s v="Atlas Electronics"/>
  </r>
  <r>
    <s v="P00430"/>
    <d v="2025-05-15T00:00:00"/>
    <x v="4"/>
    <x v="5"/>
    <n v="218"/>
    <n v="11"/>
    <n v="28"/>
    <n v="201"/>
    <x v="4"/>
    <n v="140"/>
    <n v="3920"/>
    <n v="30"/>
    <s v="TechSupply"/>
  </r>
  <r>
    <s v="P00046"/>
    <d v="2025-05-16T00:00:00"/>
    <x v="4"/>
    <x v="4"/>
    <n v="107"/>
    <n v="44"/>
    <n v="56"/>
    <n v="95"/>
    <x v="4"/>
    <n v="57"/>
    <n v="3192"/>
    <n v="35"/>
    <s v="SmartDistrib"/>
  </r>
  <r>
    <s v="P00488"/>
    <d v="2025-05-16T00:00:00"/>
    <x v="4"/>
    <x v="5"/>
    <n v="476"/>
    <n v="15"/>
    <n v="5"/>
    <n v="486"/>
    <x v="2"/>
    <n v="160"/>
    <n v="800"/>
    <n v="30"/>
    <s v="TechSupply"/>
  </r>
  <r>
    <s v="P00122"/>
    <d v="2025-05-16T00:00:00"/>
    <x v="4"/>
    <x v="9"/>
    <n v="443"/>
    <n v="80"/>
    <n v="37"/>
    <n v="486"/>
    <x v="4"/>
    <n v="2254"/>
    <n v="83398"/>
    <n v="10"/>
    <s v="BureauPlus"/>
  </r>
  <r>
    <s v="P00147"/>
    <d v="2025-05-16T00:00:00"/>
    <x v="4"/>
    <x v="5"/>
    <n v="213"/>
    <n v="79"/>
    <n v="44"/>
    <n v="248"/>
    <x v="1"/>
    <n v="283"/>
    <n v="12452"/>
    <n v="30"/>
    <s v="SmartDistrib"/>
  </r>
  <r>
    <s v="P00180"/>
    <d v="2025-05-16T00:00:00"/>
    <x v="4"/>
    <x v="0"/>
    <n v="66"/>
    <n v="16"/>
    <n v="47"/>
    <n v="35"/>
    <x v="3"/>
    <n v="2062"/>
    <n v="96914"/>
    <n v="12"/>
    <s v="SmartDistrib"/>
  </r>
  <r>
    <s v="P00373"/>
    <d v="2025-05-17T00:00:00"/>
    <x v="4"/>
    <x v="8"/>
    <n v="447"/>
    <n v="50"/>
    <n v="5"/>
    <n v="492"/>
    <x v="0"/>
    <n v="632"/>
    <n v="3160"/>
    <n v="20"/>
    <s v="BureauPlus"/>
  </r>
  <r>
    <s v="P00356"/>
    <d v="2025-05-18T00:00:00"/>
    <x v="4"/>
    <x v="7"/>
    <n v="233"/>
    <n v="86"/>
    <n v="38"/>
    <n v="281"/>
    <x v="1"/>
    <n v="5969"/>
    <n v="226822"/>
    <n v="8"/>
    <s v="TechSupply"/>
  </r>
  <r>
    <s v="P00440"/>
    <d v="2025-05-18T00:00:00"/>
    <x v="4"/>
    <x v="5"/>
    <n v="205"/>
    <n v="36"/>
    <n v="21"/>
    <n v="220"/>
    <x v="3"/>
    <n v="146"/>
    <n v="3066"/>
    <n v="30"/>
    <s v="SmartDistrib"/>
  </r>
  <r>
    <s v="P00392"/>
    <d v="2025-05-18T00:00:00"/>
    <x v="4"/>
    <x v="1"/>
    <n v="292"/>
    <n v="18"/>
    <n v="4"/>
    <n v="306"/>
    <x v="0"/>
    <n v="1042"/>
    <n v="4168"/>
    <n v="8"/>
    <s v="SmartDistrib"/>
  </r>
  <r>
    <s v="P00201"/>
    <d v="2025-05-20T00:00:00"/>
    <x v="4"/>
    <x v="2"/>
    <n v="150"/>
    <n v="96"/>
    <n v="32"/>
    <n v="214"/>
    <x v="2"/>
    <n v="833"/>
    <n v="26656"/>
    <n v="12"/>
    <s v="BureauPlus"/>
  </r>
  <r>
    <s v="P00200"/>
    <d v="2025-05-20T00:00:00"/>
    <x v="4"/>
    <x v="3"/>
    <n v="266"/>
    <n v="84"/>
    <n v="27"/>
    <n v="323"/>
    <x v="3"/>
    <n v="3789"/>
    <n v="102303"/>
    <n v="15"/>
    <s v="SmartDistrib"/>
  </r>
  <r>
    <s v="P00079"/>
    <d v="2025-05-21T00:00:00"/>
    <x v="4"/>
    <x v="9"/>
    <n v="265"/>
    <n v="9"/>
    <n v="45"/>
    <n v="229"/>
    <x v="4"/>
    <n v="1485"/>
    <n v="66825"/>
    <n v="10"/>
    <s v="BureauPlus"/>
  </r>
  <r>
    <s v="P00371"/>
    <d v="2025-05-21T00:00:00"/>
    <x v="4"/>
    <x v="4"/>
    <n v="314"/>
    <n v="36"/>
    <n v="1"/>
    <n v="349"/>
    <x v="0"/>
    <n v="168"/>
    <n v="168"/>
    <n v="35"/>
    <s v="TechSupply"/>
  </r>
  <r>
    <s v="P00101"/>
    <d v="2025-05-23T00:00:00"/>
    <x v="4"/>
    <x v="3"/>
    <n v="491"/>
    <n v="57"/>
    <n v="15"/>
    <n v="533"/>
    <x v="3"/>
    <n v="3703"/>
    <n v="55545"/>
    <n v="15"/>
    <s v="SmartDistrib"/>
  </r>
  <r>
    <s v="P00005"/>
    <d v="2025-05-23T00:00:00"/>
    <x v="4"/>
    <x v="8"/>
    <n v="119"/>
    <n v="27"/>
    <n v="48"/>
    <n v="98"/>
    <x v="1"/>
    <n v="594"/>
    <n v="28512"/>
    <n v="20"/>
    <s v="OfficePro"/>
  </r>
  <r>
    <s v="P00194"/>
    <d v="2025-05-23T00:00:00"/>
    <x v="4"/>
    <x v="3"/>
    <n v="333"/>
    <n v="28"/>
    <n v="51"/>
    <n v="310"/>
    <x v="3"/>
    <n v="3557"/>
    <n v="181407"/>
    <n v="15"/>
    <s v="Atlas Electronics"/>
  </r>
  <r>
    <s v="P00277"/>
    <d v="2025-05-26T00:00:00"/>
    <x v="4"/>
    <x v="4"/>
    <n v="473"/>
    <n v="10"/>
    <n v="16"/>
    <n v="467"/>
    <x v="3"/>
    <n v="90"/>
    <n v="1440"/>
    <n v="35"/>
    <s v="SmartDistrib"/>
  </r>
  <r>
    <s v="P00202"/>
    <d v="2025-05-26T00:00:00"/>
    <x v="4"/>
    <x v="3"/>
    <n v="387"/>
    <n v="86"/>
    <n v="37"/>
    <n v="436"/>
    <x v="3"/>
    <n v="3793"/>
    <n v="140341"/>
    <n v="15"/>
    <s v="SmartDistrib"/>
  </r>
  <r>
    <s v="P00217"/>
    <d v="2025-05-27T00:00:00"/>
    <x v="4"/>
    <x v="8"/>
    <n v="79"/>
    <n v="82"/>
    <n v="55"/>
    <n v="106"/>
    <x v="3"/>
    <n v="342"/>
    <n v="18810"/>
    <n v="20"/>
    <s v="BureauPlus"/>
  </r>
  <r>
    <s v="P00460"/>
    <d v="2025-05-27T00:00:00"/>
    <x v="4"/>
    <x v="4"/>
    <n v="361"/>
    <n v="91"/>
    <n v="32"/>
    <n v="420"/>
    <x v="0"/>
    <n v="146"/>
    <n v="4672"/>
    <n v="35"/>
    <s v="SmartDistrib"/>
  </r>
  <r>
    <s v="P00311"/>
    <d v="2025-05-29T00:00:00"/>
    <x v="4"/>
    <x v="0"/>
    <n v="61"/>
    <n v="36"/>
    <n v="45"/>
    <n v="52"/>
    <x v="2"/>
    <n v="1361"/>
    <n v="61245"/>
    <n v="12"/>
    <s v="TechSupply"/>
  </r>
  <r>
    <s v="P00245"/>
    <d v="2025-05-30T00:00:00"/>
    <x v="4"/>
    <x v="0"/>
    <n v="259"/>
    <n v="0"/>
    <n v="39"/>
    <n v="220"/>
    <x v="4"/>
    <n v="1922"/>
    <n v="74958"/>
    <n v="12"/>
    <s v="TechSupply"/>
  </r>
  <r>
    <s v="P00426"/>
    <d v="2025-05-30T00:00:00"/>
    <x v="4"/>
    <x v="9"/>
    <n v="56"/>
    <n v="35"/>
    <n v="14"/>
    <n v="77"/>
    <x v="2"/>
    <n v="2001"/>
    <n v="28014"/>
    <n v="10"/>
    <s v="TechSupply"/>
  </r>
  <r>
    <s v="P00385"/>
    <d v="2025-06-01T00:00:00"/>
    <x v="5"/>
    <x v="6"/>
    <n v="448"/>
    <n v="31"/>
    <n v="45"/>
    <n v="434"/>
    <x v="1"/>
    <n v="195"/>
    <n v="8775"/>
    <n v="25"/>
    <s v="SmartDistrib"/>
  </r>
  <r>
    <s v="P00162"/>
    <d v="2025-06-01T00:00:00"/>
    <x v="5"/>
    <x v="3"/>
    <n v="207"/>
    <n v="95"/>
    <n v="26"/>
    <n v="276"/>
    <x v="4"/>
    <n v="2519"/>
    <n v="65494"/>
    <n v="15"/>
    <s v="Atlas Electronics"/>
  </r>
  <r>
    <s v="P00158"/>
    <d v="2025-06-01T00:00:00"/>
    <x v="5"/>
    <x v="6"/>
    <n v="398"/>
    <n v="37"/>
    <n v="1"/>
    <n v="434"/>
    <x v="2"/>
    <n v="525"/>
    <n v="525"/>
    <n v="25"/>
    <s v="Atlas Electronics"/>
  </r>
  <r>
    <s v="P00164"/>
    <d v="2025-06-01T00:00:00"/>
    <x v="5"/>
    <x v="5"/>
    <n v="422"/>
    <n v="43"/>
    <n v="51"/>
    <n v="414"/>
    <x v="0"/>
    <n v="138"/>
    <n v="7038"/>
    <n v="30"/>
    <s v="TechSupply"/>
  </r>
  <r>
    <s v="P00084"/>
    <d v="2025-06-02T00:00:00"/>
    <x v="5"/>
    <x v="8"/>
    <n v="425"/>
    <n v="49"/>
    <n v="54"/>
    <n v="420"/>
    <x v="3"/>
    <n v="679"/>
    <n v="36666"/>
    <n v="20"/>
    <s v="OfficePro"/>
  </r>
  <r>
    <s v="P00353"/>
    <d v="2025-06-03T00:00:00"/>
    <x v="5"/>
    <x v="9"/>
    <n v="479"/>
    <n v="90"/>
    <n v="9"/>
    <n v="560"/>
    <x v="1"/>
    <n v="1848"/>
    <n v="16632"/>
    <n v="10"/>
    <s v="BureauPlus"/>
  </r>
  <r>
    <s v="P00066"/>
    <d v="2025-06-03T00:00:00"/>
    <x v="5"/>
    <x v="3"/>
    <n v="299"/>
    <n v="39"/>
    <n v="42"/>
    <n v="296"/>
    <x v="2"/>
    <n v="3472"/>
    <n v="145824"/>
    <n v="15"/>
    <s v="SmartDistrib"/>
  </r>
  <r>
    <s v="P00449"/>
    <d v="2025-06-03T00:00:00"/>
    <x v="5"/>
    <x v="8"/>
    <n v="110"/>
    <n v="48"/>
    <n v="49"/>
    <n v="109"/>
    <x v="4"/>
    <n v="386"/>
    <n v="18914"/>
    <n v="20"/>
    <s v="OfficePro"/>
  </r>
  <r>
    <s v="P00393"/>
    <d v="2025-06-03T00:00:00"/>
    <x v="5"/>
    <x v="2"/>
    <n v="287"/>
    <n v="100"/>
    <n v="4"/>
    <n v="383"/>
    <x v="2"/>
    <n v="1339"/>
    <n v="5356"/>
    <n v="12"/>
    <s v="OfficePro"/>
  </r>
  <r>
    <s v="P00048"/>
    <d v="2025-06-03T00:00:00"/>
    <x v="5"/>
    <x v="4"/>
    <n v="379"/>
    <n v="13"/>
    <n v="60"/>
    <n v="332"/>
    <x v="2"/>
    <n v="74"/>
    <n v="4440"/>
    <n v="35"/>
    <s v="TechSupply"/>
  </r>
  <r>
    <s v="P00116"/>
    <d v="2025-06-05T00:00:00"/>
    <x v="5"/>
    <x v="6"/>
    <n v="83"/>
    <n v="31"/>
    <n v="7"/>
    <n v="107"/>
    <x v="0"/>
    <n v="691"/>
    <n v="4837"/>
    <n v="25"/>
    <s v="Atlas Electronics"/>
  </r>
  <r>
    <s v="P00477"/>
    <d v="2025-06-05T00:00:00"/>
    <x v="5"/>
    <x v="6"/>
    <n v="418"/>
    <n v="79"/>
    <n v="15"/>
    <n v="482"/>
    <x v="2"/>
    <n v="595"/>
    <n v="8925"/>
    <n v="25"/>
    <s v="SmartDistrib"/>
  </r>
  <r>
    <s v="P00358"/>
    <d v="2025-06-05T00:00:00"/>
    <x v="5"/>
    <x v="8"/>
    <n v="47"/>
    <n v="27"/>
    <n v="59"/>
    <n v="15"/>
    <x v="1"/>
    <n v="444"/>
    <n v="26196"/>
    <n v="20"/>
    <s v="BureauPlus"/>
  </r>
  <r>
    <s v="P00420"/>
    <d v="2025-06-06T00:00:00"/>
    <x v="5"/>
    <x v="9"/>
    <n v="99"/>
    <n v="23"/>
    <n v="23"/>
    <n v="99"/>
    <x v="4"/>
    <n v="2320"/>
    <n v="53360"/>
    <n v="10"/>
    <s v="BureauPlus"/>
  </r>
  <r>
    <s v="P00108"/>
    <d v="2025-06-06T00:00:00"/>
    <x v="5"/>
    <x v="1"/>
    <n v="168"/>
    <n v="29"/>
    <n v="7"/>
    <n v="190"/>
    <x v="4"/>
    <n v="2177"/>
    <n v="15239"/>
    <n v="8"/>
    <s v="SmartDistrib"/>
  </r>
  <r>
    <s v="P00161"/>
    <d v="2025-06-08T00:00:00"/>
    <x v="5"/>
    <x v="7"/>
    <n v="443"/>
    <n v="56"/>
    <n v="2"/>
    <n v="497"/>
    <x v="2"/>
    <n v="5873"/>
    <n v="11746"/>
    <n v="8"/>
    <s v="TechSupply"/>
  </r>
  <r>
    <s v="P00210"/>
    <d v="2025-06-08T00:00:00"/>
    <x v="5"/>
    <x v="2"/>
    <n v="421"/>
    <n v="43"/>
    <n v="14"/>
    <n v="450"/>
    <x v="4"/>
    <n v="1282"/>
    <n v="17948"/>
    <n v="12"/>
    <s v="OfficePro"/>
  </r>
  <r>
    <s v="P00409"/>
    <d v="2025-06-09T00:00:00"/>
    <x v="5"/>
    <x v="8"/>
    <n v="215"/>
    <n v="58"/>
    <n v="50"/>
    <n v="223"/>
    <x v="3"/>
    <n v="461"/>
    <n v="23050"/>
    <n v="20"/>
    <s v="BureauPlus"/>
  </r>
  <r>
    <s v="P00264"/>
    <d v="2025-06-10T00:00:00"/>
    <x v="5"/>
    <x v="2"/>
    <n v="372"/>
    <n v="35"/>
    <n v="15"/>
    <n v="392"/>
    <x v="1"/>
    <n v="832"/>
    <n v="12480"/>
    <n v="12"/>
    <s v="OfficePro"/>
  </r>
  <r>
    <s v="P00397"/>
    <d v="2025-06-10T00:00:00"/>
    <x v="5"/>
    <x v="5"/>
    <n v="130"/>
    <n v="50"/>
    <n v="20"/>
    <n v="160"/>
    <x v="0"/>
    <n v="229"/>
    <n v="4580"/>
    <n v="30"/>
    <s v="TechSupply"/>
  </r>
  <r>
    <s v="P00207"/>
    <d v="2025-06-10T00:00:00"/>
    <x v="5"/>
    <x v="3"/>
    <n v="334"/>
    <n v="54"/>
    <n v="36"/>
    <n v="352"/>
    <x v="0"/>
    <n v="3456"/>
    <n v="124416"/>
    <n v="15"/>
    <s v="SmartDistrib"/>
  </r>
  <r>
    <s v="P00379"/>
    <d v="2025-06-11T00:00:00"/>
    <x v="5"/>
    <x v="0"/>
    <n v="48"/>
    <n v="26"/>
    <n v="37"/>
    <n v="37"/>
    <x v="0"/>
    <n v="1495"/>
    <n v="55315"/>
    <n v="12"/>
    <s v="SmartDistrib"/>
  </r>
  <r>
    <s v="P00485"/>
    <d v="2025-06-12T00:00:00"/>
    <x v="5"/>
    <x v="8"/>
    <n v="271"/>
    <n v="34"/>
    <n v="14"/>
    <n v="291"/>
    <x v="4"/>
    <n v="326"/>
    <n v="4564"/>
    <n v="20"/>
    <s v="OfficePro"/>
  </r>
  <r>
    <s v="P00080"/>
    <d v="2025-06-13T00:00:00"/>
    <x v="5"/>
    <x v="8"/>
    <n v="497"/>
    <n v="69"/>
    <n v="5"/>
    <n v="561"/>
    <x v="4"/>
    <n v="391"/>
    <n v="1955"/>
    <n v="20"/>
    <s v="OfficePro"/>
  </r>
  <r>
    <s v="P00473"/>
    <d v="2025-06-14T00:00:00"/>
    <x v="5"/>
    <x v="9"/>
    <n v="167"/>
    <n v="53"/>
    <n v="58"/>
    <n v="162"/>
    <x v="2"/>
    <n v="2375"/>
    <n v="137750"/>
    <n v="10"/>
    <s v="BureauPlus"/>
  </r>
  <r>
    <s v="P00325"/>
    <d v="2025-06-15T00:00:00"/>
    <x v="5"/>
    <x v="5"/>
    <n v="167"/>
    <n v="0"/>
    <n v="16"/>
    <n v="151"/>
    <x v="4"/>
    <n v="276"/>
    <n v="4416"/>
    <n v="30"/>
    <s v="SmartDistrib"/>
  </r>
  <r>
    <s v="P00022"/>
    <d v="2025-06-15T00:00:00"/>
    <x v="5"/>
    <x v="6"/>
    <n v="290"/>
    <n v="2"/>
    <n v="7"/>
    <n v="285"/>
    <x v="2"/>
    <n v="491"/>
    <n v="3437"/>
    <n v="25"/>
    <s v="Atlas Electronics"/>
  </r>
  <r>
    <s v="P00306"/>
    <d v="2025-06-16T00:00:00"/>
    <x v="5"/>
    <x v="4"/>
    <n v="379"/>
    <n v="61"/>
    <n v="33"/>
    <n v="407"/>
    <x v="2"/>
    <n v="136"/>
    <n v="4488"/>
    <n v="35"/>
    <s v="TechSupply"/>
  </r>
  <r>
    <s v="P00489"/>
    <d v="2025-06-17T00:00:00"/>
    <x v="5"/>
    <x v="9"/>
    <n v="115"/>
    <n v="11"/>
    <n v="45"/>
    <n v="81"/>
    <x v="2"/>
    <n v="1408"/>
    <n v="63360"/>
    <n v="10"/>
    <s v="BureauPlus"/>
  </r>
  <r>
    <s v="P00326"/>
    <d v="2025-06-18T00:00:00"/>
    <x v="5"/>
    <x v="1"/>
    <n v="194"/>
    <n v="74"/>
    <n v="46"/>
    <n v="222"/>
    <x v="1"/>
    <n v="1873"/>
    <n v="86158"/>
    <n v="8"/>
    <s v="SmartDistrib"/>
  </r>
  <r>
    <s v="P00029"/>
    <d v="2025-06-19T00:00:00"/>
    <x v="5"/>
    <x v="7"/>
    <n v="76"/>
    <n v="65"/>
    <n v="15"/>
    <n v="126"/>
    <x v="0"/>
    <n v="4640"/>
    <n v="69600"/>
    <n v="8"/>
    <s v="TechSupply"/>
  </r>
  <r>
    <s v="P00142"/>
    <d v="2025-06-20T00:00:00"/>
    <x v="5"/>
    <x v="8"/>
    <n v="322"/>
    <n v="97"/>
    <n v="34"/>
    <n v="385"/>
    <x v="0"/>
    <n v="636"/>
    <n v="21624"/>
    <n v="20"/>
    <s v="BureauPlus"/>
  </r>
  <r>
    <s v="P00057"/>
    <d v="2025-06-20T00:00:00"/>
    <x v="5"/>
    <x v="0"/>
    <n v="440"/>
    <n v="52"/>
    <n v="51"/>
    <n v="441"/>
    <x v="4"/>
    <n v="2571"/>
    <n v="131121"/>
    <n v="12"/>
    <s v="TechSupply"/>
  </r>
  <r>
    <s v="P00468"/>
    <d v="2025-06-21T00:00:00"/>
    <x v="5"/>
    <x v="7"/>
    <n v="453"/>
    <n v="54"/>
    <n v="17"/>
    <n v="490"/>
    <x v="1"/>
    <n v="5645"/>
    <n v="95965"/>
    <n v="8"/>
    <s v="Atlas Electronics"/>
  </r>
  <r>
    <s v="P00089"/>
    <d v="2025-06-22T00:00:00"/>
    <x v="5"/>
    <x v="8"/>
    <n v="429"/>
    <n v="48"/>
    <n v="17"/>
    <n v="460"/>
    <x v="2"/>
    <n v="681"/>
    <n v="11577"/>
    <n v="20"/>
    <s v="OfficePro"/>
  </r>
  <r>
    <s v="P00196"/>
    <d v="2025-06-23T00:00:00"/>
    <x v="5"/>
    <x v="1"/>
    <n v="219"/>
    <n v="0"/>
    <n v="11"/>
    <n v="208"/>
    <x v="3"/>
    <n v="993"/>
    <n v="10923"/>
    <n v="8"/>
    <s v="SmartDistrib"/>
  </r>
  <r>
    <s v="P00103"/>
    <d v="2025-06-24T00:00:00"/>
    <x v="5"/>
    <x v="1"/>
    <n v="183"/>
    <n v="76"/>
    <n v="44"/>
    <n v="215"/>
    <x v="3"/>
    <n v="1265"/>
    <n v="55660"/>
    <n v="8"/>
    <s v="BureauPlus"/>
  </r>
  <r>
    <s v="P00140"/>
    <d v="2025-06-24T00:00:00"/>
    <x v="5"/>
    <x v="2"/>
    <n v="443"/>
    <n v="64"/>
    <n v="17"/>
    <n v="490"/>
    <x v="2"/>
    <n v="605"/>
    <n v="10285"/>
    <n v="12"/>
    <s v="BureauPlus"/>
  </r>
  <r>
    <s v="P00274"/>
    <d v="2025-06-26T00:00:00"/>
    <x v="5"/>
    <x v="4"/>
    <n v="105"/>
    <n v="99"/>
    <n v="35"/>
    <n v="169"/>
    <x v="3"/>
    <n v="203"/>
    <n v="7105"/>
    <n v="35"/>
    <s v="TechSupply"/>
  </r>
  <r>
    <s v="P00351"/>
    <d v="2025-06-26T00:00:00"/>
    <x v="5"/>
    <x v="7"/>
    <n v="369"/>
    <n v="85"/>
    <n v="24"/>
    <n v="430"/>
    <x v="2"/>
    <n v="5648"/>
    <n v="135552"/>
    <n v="8"/>
    <s v="Atlas Electronics"/>
  </r>
  <r>
    <s v="P00160"/>
    <d v="2025-06-30T00:00:00"/>
    <x v="5"/>
    <x v="6"/>
    <n v="152"/>
    <n v="81"/>
    <n v="12"/>
    <n v="221"/>
    <x v="4"/>
    <n v="376"/>
    <n v="4512"/>
    <n v="25"/>
    <s v="Atlas Electronics"/>
  </r>
  <r>
    <s v="P00366"/>
    <d v="2025-06-30T00:00:00"/>
    <x v="5"/>
    <x v="0"/>
    <n v="126"/>
    <n v="17"/>
    <n v="46"/>
    <n v="97"/>
    <x v="0"/>
    <n v="2319"/>
    <n v="106674"/>
    <n v="12"/>
    <s v="SmartDistrib"/>
  </r>
  <r>
    <s v="P00010"/>
    <d v="2025-07-01T00:00:00"/>
    <x v="6"/>
    <x v="8"/>
    <n v="147"/>
    <n v="85"/>
    <n v="17"/>
    <n v="215"/>
    <x v="3"/>
    <n v="323"/>
    <n v="5491"/>
    <n v="20"/>
    <s v="OfficePro"/>
  </r>
  <r>
    <s v="P00253"/>
    <d v="2025-07-02T00:00:00"/>
    <x v="6"/>
    <x v="1"/>
    <n v="481"/>
    <n v="99"/>
    <n v="3"/>
    <n v="577"/>
    <x v="2"/>
    <n v="2042"/>
    <n v="6126"/>
    <n v="8"/>
    <s v="SmartDistrib"/>
  </r>
  <r>
    <s v="P00500"/>
    <d v="2025-07-03T00:00:00"/>
    <x v="6"/>
    <x v="2"/>
    <n v="285"/>
    <n v="69"/>
    <n v="50"/>
    <n v="304"/>
    <x v="2"/>
    <n v="1592"/>
    <n v="79600"/>
    <n v="12"/>
    <s v="BureauPlus"/>
  </r>
  <r>
    <s v="P00271"/>
    <d v="2025-07-04T00:00:00"/>
    <x v="6"/>
    <x v="7"/>
    <n v="323"/>
    <n v="73"/>
    <n v="23"/>
    <n v="373"/>
    <x v="3"/>
    <n v="5414"/>
    <n v="124522"/>
    <n v="8"/>
    <s v="TechSupply"/>
  </r>
  <r>
    <s v="P00227"/>
    <d v="2025-07-05T00:00:00"/>
    <x v="6"/>
    <x v="4"/>
    <n v="49"/>
    <n v="46"/>
    <n v="19"/>
    <n v="76"/>
    <x v="4"/>
    <n v="86"/>
    <n v="1634"/>
    <n v="35"/>
    <s v="SmartDistrib"/>
  </r>
  <r>
    <s v="P00262"/>
    <d v="2025-07-05T00:00:00"/>
    <x v="6"/>
    <x v="8"/>
    <n v="236"/>
    <n v="72"/>
    <n v="2"/>
    <n v="306"/>
    <x v="4"/>
    <n v="869"/>
    <n v="1738"/>
    <n v="20"/>
    <s v="BureauPlus"/>
  </r>
  <r>
    <s v="P00163"/>
    <d v="2025-07-07T00:00:00"/>
    <x v="6"/>
    <x v="4"/>
    <n v="311"/>
    <n v="64"/>
    <n v="58"/>
    <n v="317"/>
    <x v="4"/>
    <n v="109"/>
    <n v="6322"/>
    <n v="35"/>
    <s v="SmartDistrib"/>
  </r>
  <r>
    <s v="P00292"/>
    <d v="2025-07-07T00:00:00"/>
    <x v="6"/>
    <x v="2"/>
    <n v="63"/>
    <n v="51"/>
    <n v="3"/>
    <n v="111"/>
    <x v="3"/>
    <n v="1767"/>
    <n v="5301"/>
    <n v="12"/>
    <s v="OfficePro"/>
  </r>
  <r>
    <s v="P00329"/>
    <d v="2025-07-08T00:00:00"/>
    <x v="6"/>
    <x v="1"/>
    <n v="354"/>
    <n v="28"/>
    <n v="14"/>
    <n v="368"/>
    <x v="0"/>
    <n v="973"/>
    <n v="13622"/>
    <n v="8"/>
    <s v="BureauPlus"/>
  </r>
  <r>
    <s v="P00300"/>
    <d v="2025-07-08T00:00:00"/>
    <x v="6"/>
    <x v="7"/>
    <n v="209"/>
    <n v="86"/>
    <n v="7"/>
    <n v="288"/>
    <x v="3"/>
    <n v="5206"/>
    <n v="36442"/>
    <n v="8"/>
    <s v="Atlas Electronics"/>
  </r>
  <r>
    <s v="P00093"/>
    <d v="2025-07-08T00:00:00"/>
    <x v="6"/>
    <x v="1"/>
    <n v="125"/>
    <n v="77"/>
    <n v="38"/>
    <n v="164"/>
    <x v="1"/>
    <n v="2171"/>
    <n v="82498"/>
    <n v="8"/>
    <s v="BureauPlus"/>
  </r>
  <r>
    <s v="P00254"/>
    <d v="2025-07-08T00:00:00"/>
    <x v="6"/>
    <x v="3"/>
    <n v="263"/>
    <n v="51"/>
    <n v="47"/>
    <n v="267"/>
    <x v="0"/>
    <n v="3601"/>
    <n v="169247"/>
    <n v="15"/>
    <s v="SmartDistrib"/>
  </r>
  <r>
    <s v="P00362"/>
    <d v="2025-07-09T00:00:00"/>
    <x v="6"/>
    <x v="9"/>
    <n v="200"/>
    <n v="52"/>
    <n v="2"/>
    <n v="250"/>
    <x v="4"/>
    <n v="2052"/>
    <n v="4104"/>
    <n v="10"/>
    <s v="TechSupply"/>
  </r>
  <r>
    <s v="P00235"/>
    <d v="2025-07-10T00:00:00"/>
    <x v="6"/>
    <x v="5"/>
    <n v="323"/>
    <n v="13"/>
    <n v="45"/>
    <n v="291"/>
    <x v="1"/>
    <n v="344"/>
    <n v="15480"/>
    <n v="30"/>
    <s v="SmartDistrib"/>
  </r>
  <r>
    <s v="P00444"/>
    <d v="2025-07-10T00:00:00"/>
    <x v="6"/>
    <x v="3"/>
    <n v="380"/>
    <n v="83"/>
    <n v="10"/>
    <n v="453"/>
    <x v="0"/>
    <n v="2012"/>
    <n v="20120"/>
    <n v="15"/>
    <s v="SmartDistrib"/>
  </r>
  <r>
    <s v="P00263"/>
    <d v="2025-07-10T00:00:00"/>
    <x v="6"/>
    <x v="8"/>
    <n v="267"/>
    <n v="97"/>
    <n v="4"/>
    <n v="360"/>
    <x v="4"/>
    <n v="837"/>
    <n v="3348"/>
    <n v="20"/>
    <s v="BureauPlus"/>
  </r>
  <r>
    <s v="P00467"/>
    <d v="2025-07-10T00:00:00"/>
    <x v="6"/>
    <x v="0"/>
    <n v="104"/>
    <n v="95"/>
    <n v="49"/>
    <n v="150"/>
    <x v="2"/>
    <n v="2988"/>
    <n v="146412"/>
    <n v="12"/>
    <s v="SmartDistrib"/>
  </r>
  <r>
    <s v="P00407"/>
    <d v="2025-07-11T00:00:00"/>
    <x v="6"/>
    <x v="5"/>
    <n v="240"/>
    <n v="59"/>
    <n v="49"/>
    <n v="250"/>
    <x v="4"/>
    <n v="336"/>
    <n v="16464"/>
    <n v="30"/>
    <s v="SmartDistrib"/>
  </r>
  <r>
    <s v="P00189"/>
    <d v="2025-07-11T00:00:00"/>
    <x v="6"/>
    <x v="1"/>
    <n v="118"/>
    <n v="87"/>
    <n v="59"/>
    <n v="146"/>
    <x v="1"/>
    <n v="1671"/>
    <n v="98589"/>
    <n v="8"/>
    <s v="BureauPlus"/>
  </r>
  <r>
    <s v="P00021"/>
    <d v="2025-07-11T00:00:00"/>
    <x v="6"/>
    <x v="0"/>
    <n v="430"/>
    <n v="20"/>
    <n v="34"/>
    <n v="416"/>
    <x v="3"/>
    <n v="2794"/>
    <n v="94996"/>
    <n v="12"/>
    <s v="SmartDistrib"/>
  </r>
  <r>
    <s v="P00398"/>
    <d v="2025-07-12T00:00:00"/>
    <x v="6"/>
    <x v="8"/>
    <n v="183"/>
    <n v="100"/>
    <n v="25"/>
    <n v="258"/>
    <x v="1"/>
    <n v="623"/>
    <n v="15575"/>
    <n v="20"/>
    <s v="OfficePro"/>
  </r>
  <r>
    <s v="P00360"/>
    <d v="2025-07-14T00:00:00"/>
    <x v="6"/>
    <x v="1"/>
    <n v="278"/>
    <n v="68"/>
    <n v="41"/>
    <n v="305"/>
    <x v="2"/>
    <n v="1435"/>
    <n v="58835"/>
    <n v="8"/>
    <s v="SmartDistrib"/>
  </r>
  <r>
    <s v="P00343"/>
    <d v="2025-07-14T00:00:00"/>
    <x v="6"/>
    <x v="4"/>
    <n v="461"/>
    <n v="29"/>
    <n v="15"/>
    <n v="475"/>
    <x v="2"/>
    <n v="157"/>
    <n v="2355"/>
    <n v="35"/>
    <s v="TechSupply"/>
  </r>
  <r>
    <s v="P00117"/>
    <d v="2025-07-14T00:00:00"/>
    <x v="6"/>
    <x v="4"/>
    <n v="270"/>
    <n v="56"/>
    <n v="19"/>
    <n v="307"/>
    <x v="0"/>
    <n v="190"/>
    <n v="3610"/>
    <n v="35"/>
    <s v="SmartDistrib"/>
  </r>
  <r>
    <s v="P00148"/>
    <d v="2025-07-14T00:00:00"/>
    <x v="6"/>
    <x v="4"/>
    <n v="202"/>
    <n v="80"/>
    <n v="45"/>
    <n v="237"/>
    <x v="3"/>
    <n v="164"/>
    <n v="7380"/>
    <n v="35"/>
    <s v="TechSupply"/>
  </r>
  <r>
    <s v="P00386"/>
    <d v="2025-07-14T00:00:00"/>
    <x v="6"/>
    <x v="0"/>
    <n v="404"/>
    <n v="100"/>
    <n v="40"/>
    <n v="464"/>
    <x v="0"/>
    <n v="1515"/>
    <n v="60600"/>
    <n v="12"/>
    <s v="TechSupply"/>
  </r>
  <r>
    <s v="P00375"/>
    <d v="2025-07-14T00:00:00"/>
    <x v="6"/>
    <x v="2"/>
    <n v="233"/>
    <n v="70"/>
    <n v="30"/>
    <n v="273"/>
    <x v="1"/>
    <n v="714"/>
    <n v="21420"/>
    <n v="12"/>
    <s v="OfficePro"/>
  </r>
  <r>
    <s v="P00017"/>
    <d v="2025-07-15T00:00:00"/>
    <x v="6"/>
    <x v="2"/>
    <n v="345"/>
    <n v="59"/>
    <n v="33"/>
    <n v="371"/>
    <x v="3"/>
    <n v="1114"/>
    <n v="36762"/>
    <n v="12"/>
    <s v="OfficePro"/>
  </r>
  <r>
    <s v="P00157"/>
    <d v="2025-07-16T00:00:00"/>
    <x v="6"/>
    <x v="9"/>
    <n v="476"/>
    <n v="61"/>
    <n v="6"/>
    <n v="531"/>
    <x v="0"/>
    <n v="1385"/>
    <n v="8310"/>
    <n v="10"/>
    <s v="BureauPlus"/>
  </r>
  <r>
    <s v="P00472"/>
    <d v="2025-07-16T00:00:00"/>
    <x v="6"/>
    <x v="8"/>
    <n v="116"/>
    <n v="22"/>
    <n v="59"/>
    <n v="79"/>
    <x v="3"/>
    <n v="286"/>
    <n v="16874"/>
    <n v="20"/>
    <s v="BureauPlus"/>
  </r>
  <r>
    <s v="P00037"/>
    <d v="2025-07-19T00:00:00"/>
    <x v="6"/>
    <x v="7"/>
    <n v="175"/>
    <n v="100"/>
    <n v="50"/>
    <n v="225"/>
    <x v="2"/>
    <n v="5363"/>
    <n v="268150"/>
    <n v="8"/>
    <s v="Atlas Electronics"/>
  </r>
  <r>
    <s v="P00298"/>
    <d v="2025-07-21T00:00:00"/>
    <x v="6"/>
    <x v="0"/>
    <n v="355"/>
    <n v="94"/>
    <n v="53"/>
    <n v="396"/>
    <x v="3"/>
    <n v="1812"/>
    <n v="96036"/>
    <n v="12"/>
    <s v="TechSupply"/>
  </r>
  <r>
    <s v="P00395"/>
    <d v="2025-07-22T00:00:00"/>
    <x v="6"/>
    <x v="7"/>
    <n v="210"/>
    <n v="79"/>
    <n v="24"/>
    <n v="265"/>
    <x v="0"/>
    <n v="4849"/>
    <n v="116376"/>
    <n v="8"/>
    <s v="Atlas Electronics"/>
  </r>
  <r>
    <s v="P00166"/>
    <d v="2025-07-22T00:00:00"/>
    <x v="6"/>
    <x v="3"/>
    <n v="47"/>
    <n v="33"/>
    <n v="34"/>
    <n v="46"/>
    <x v="0"/>
    <n v="2306"/>
    <n v="78404"/>
    <n v="15"/>
    <s v="SmartDistrib"/>
  </r>
  <r>
    <s v="P00238"/>
    <d v="2025-07-22T00:00:00"/>
    <x v="6"/>
    <x v="7"/>
    <n v="297"/>
    <n v="47"/>
    <n v="15"/>
    <n v="329"/>
    <x v="1"/>
    <n v="5081"/>
    <n v="76215"/>
    <n v="8"/>
    <s v="Atlas Electronics"/>
  </r>
  <r>
    <s v="P00252"/>
    <d v="2025-07-23T00:00:00"/>
    <x v="6"/>
    <x v="4"/>
    <n v="457"/>
    <n v="69"/>
    <n v="30"/>
    <n v="496"/>
    <x v="1"/>
    <n v="104"/>
    <n v="3120"/>
    <n v="35"/>
    <s v="TechSupply"/>
  </r>
  <r>
    <s v="P00206"/>
    <d v="2025-07-23T00:00:00"/>
    <x v="6"/>
    <x v="3"/>
    <n v="481"/>
    <n v="94"/>
    <n v="2"/>
    <n v="573"/>
    <x v="1"/>
    <n v="3586"/>
    <n v="7172"/>
    <n v="15"/>
    <s v="SmartDistrib"/>
  </r>
  <r>
    <s v="P00188"/>
    <d v="2025-07-24T00:00:00"/>
    <x v="6"/>
    <x v="5"/>
    <n v="252"/>
    <n v="93"/>
    <n v="6"/>
    <n v="339"/>
    <x v="0"/>
    <n v="240"/>
    <n v="1440"/>
    <n v="30"/>
    <s v="SmartDistrib"/>
  </r>
  <r>
    <s v="P00060"/>
    <d v="2025-07-24T00:00:00"/>
    <x v="6"/>
    <x v="9"/>
    <n v="208"/>
    <n v="35"/>
    <n v="55"/>
    <n v="188"/>
    <x v="2"/>
    <n v="1042"/>
    <n v="57310"/>
    <n v="10"/>
    <s v="BureauPlus"/>
  </r>
  <r>
    <s v="P00015"/>
    <d v="2025-07-24T00:00:00"/>
    <x v="6"/>
    <x v="6"/>
    <n v="225"/>
    <n v="28"/>
    <n v="8"/>
    <n v="245"/>
    <x v="0"/>
    <n v="641"/>
    <n v="5128"/>
    <n v="25"/>
    <s v="Atlas Electronics"/>
  </r>
  <r>
    <s v="P00061"/>
    <d v="2025-07-24T00:00:00"/>
    <x v="6"/>
    <x v="4"/>
    <n v="387"/>
    <n v="68"/>
    <n v="21"/>
    <n v="434"/>
    <x v="1"/>
    <n v="47"/>
    <n v="987"/>
    <n v="35"/>
    <s v="SmartDistrib"/>
  </r>
  <r>
    <s v="P00026"/>
    <d v="2025-07-24T00:00:00"/>
    <x v="6"/>
    <x v="1"/>
    <n v="383"/>
    <n v="83"/>
    <n v="23"/>
    <n v="443"/>
    <x v="3"/>
    <n v="1597"/>
    <n v="36731"/>
    <n v="8"/>
    <s v="SmartDistrib"/>
  </r>
  <r>
    <s v="P00493"/>
    <d v="2025-07-25T00:00:00"/>
    <x v="6"/>
    <x v="9"/>
    <n v="230"/>
    <n v="87"/>
    <n v="40"/>
    <n v="277"/>
    <x v="1"/>
    <n v="2220"/>
    <n v="88800"/>
    <n v="10"/>
    <s v="BureauPlus"/>
  </r>
  <r>
    <s v="P00328"/>
    <d v="2025-07-27T00:00:00"/>
    <x v="6"/>
    <x v="0"/>
    <n v="391"/>
    <n v="64"/>
    <n v="59"/>
    <n v="396"/>
    <x v="2"/>
    <n v="2640"/>
    <n v="155760"/>
    <n v="12"/>
    <s v="SmartDistrib"/>
  </r>
  <r>
    <s v="P00106"/>
    <d v="2025-07-27T00:00:00"/>
    <x v="6"/>
    <x v="9"/>
    <n v="394"/>
    <n v="31"/>
    <n v="19"/>
    <n v="406"/>
    <x v="3"/>
    <n v="2259"/>
    <n v="42921"/>
    <n v="10"/>
    <s v="BureauPlus"/>
  </r>
  <r>
    <s v="P00208"/>
    <d v="2025-07-27T00:00:00"/>
    <x v="6"/>
    <x v="3"/>
    <n v="50"/>
    <n v="41"/>
    <n v="10"/>
    <n v="81"/>
    <x v="2"/>
    <n v="3684"/>
    <n v="36840"/>
    <n v="15"/>
    <s v="Atlas Electronics"/>
  </r>
  <r>
    <s v="P00130"/>
    <d v="2025-07-29T00:00:00"/>
    <x v="6"/>
    <x v="8"/>
    <n v="210"/>
    <n v="41"/>
    <n v="42"/>
    <n v="209"/>
    <x v="4"/>
    <n v="357"/>
    <n v="14994"/>
    <n v="20"/>
    <s v="BureauPlus"/>
  </r>
  <r>
    <s v="P00222"/>
    <d v="2025-07-29T00:00:00"/>
    <x v="6"/>
    <x v="2"/>
    <n v="436"/>
    <n v="43"/>
    <n v="43"/>
    <n v="436"/>
    <x v="2"/>
    <n v="707"/>
    <n v="30401"/>
    <n v="12"/>
    <s v="OfficePro"/>
  </r>
  <r>
    <s v="P00339"/>
    <d v="2025-07-29T00:00:00"/>
    <x v="6"/>
    <x v="1"/>
    <n v="132"/>
    <n v="98"/>
    <n v="8"/>
    <n v="222"/>
    <x v="0"/>
    <n v="2013"/>
    <n v="16104"/>
    <n v="8"/>
    <s v="SmartDistrib"/>
  </r>
  <r>
    <s v="P00425"/>
    <d v="2025-08-01T00:00:00"/>
    <x v="7"/>
    <x v="5"/>
    <n v="403"/>
    <n v="56"/>
    <n v="31"/>
    <n v="428"/>
    <x v="1"/>
    <n v="165"/>
    <n v="5115"/>
    <n v="30"/>
    <s v="TechSupply"/>
  </r>
  <r>
    <s v="P00281"/>
    <d v="2025-08-02T00:00:00"/>
    <x v="7"/>
    <x v="6"/>
    <n v="356"/>
    <n v="81"/>
    <n v="1"/>
    <n v="436"/>
    <x v="3"/>
    <n v="629"/>
    <n v="629"/>
    <n v="25"/>
    <s v="SmartDistrib"/>
  </r>
  <r>
    <s v="P00198"/>
    <d v="2025-08-03T00:00:00"/>
    <x v="7"/>
    <x v="2"/>
    <n v="272"/>
    <n v="43"/>
    <n v="10"/>
    <n v="305"/>
    <x v="2"/>
    <n v="1357"/>
    <n v="13570"/>
    <n v="12"/>
    <s v="BureauPlus"/>
  </r>
  <r>
    <s v="P00287"/>
    <d v="2025-08-03T00:00:00"/>
    <x v="7"/>
    <x v="6"/>
    <n v="167"/>
    <n v="20"/>
    <n v="52"/>
    <n v="135"/>
    <x v="3"/>
    <n v="455"/>
    <n v="23660"/>
    <n v="25"/>
    <s v="SmartDistrib"/>
  </r>
  <r>
    <s v="P00256"/>
    <d v="2025-08-06T00:00:00"/>
    <x v="7"/>
    <x v="3"/>
    <n v="80"/>
    <n v="55"/>
    <n v="38"/>
    <n v="97"/>
    <x v="3"/>
    <n v="2539"/>
    <n v="96482"/>
    <n v="15"/>
    <s v="SmartDistrib"/>
  </r>
  <r>
    <s v="P00258"/>
    <d v="2025-08-07T00:00:00"/>
    <x v="7"/>
    <x v="6"/>
    <n v="125"/>
    <n v="88"/>
    <n v="28"/>
    <n v="185"/>
    <x v="0"/>
    <n v="479"/>
    <n v="13412"/>
    <n v="25"/>
    <s v="Atlas Electronics"/>
  </r>
  <r>
    <s v="P00445"/>
    <d v="2025-08-08T00:00:00"/>
    <x v="7"/>
    <x v="9"/>
    <n v="375"/>
    <n v="11"/>
    <n v="45"/>
    <n v="341"/>
    <x v="1"/>
    <n v="1094"/>
    <n v="49230"/>
    <n v="10"/>
    <s v="TechSupply"/>
  </r>
  <r>
    <s v="P00453"/>
    <d v="2025-08-08T00:00:00"/>
    <x v="7"/>
    <x v="8"/>
    <n v="201"/>
    <n v="17"/>
    <n v="15"/>
    <n v="203"/>
    <x v="1"/>
    <n v="533"/>
    <n v="7995"/>
    <n v="20"/>
    <s v="OfficePro"/>
  </r>
  <r>
    <s v="P00065"/>
    <d v="2025-08-09T00:00:00"/>
    <x v="7"/>
    <x v="8"/>
    <n v="75"/>
    <n v="85"/>
    <n v="58"/>
    <n v="102"/>
    <x v="3"/>
    <n v="588"/>
    <n v="34104"/>
    <n v="20"/>
    <s v="BureauPlus"/>
  </r>
  <r>
    <s v="P00069"/>
    <d v="2025-08-09T00:00:00"/>
    <x v="7"/>
    <x v="9"/>
    <n v="442"/>
    <n v="74"/>
    <n v="38"/>
    <n v="478"/>
    <x v="2"/>
    <n v="2240"/>
    <n v="85120"/>
    <n v="10"/>
    <s v="BureauPlus"/>
  </r>
  <r>
    <s v="P00152"/>
    <d v="2025-08-09T00:00:00"/>
    <x v="7"/>
    <x v="8"/>
    <n v="114"/>
    <n v="31"/>
    <n v="33"/>
    <n v="112"/>
    <x v="3"/>
    <n v="671"/>
    <n v="22143"/>
    <n v="20"/>
    <s v="OfficePro"/>
  </r>
  <r>
    <s v="P00205"/>
    <d v="2025-08-09T00:00:00"/>
    <x v="7"/>
    <x v="5"/>
    <n v="129"/>
    <n v="16"/>
    <n v="24"/>
    <n v="121"/>
    <x v="3"/>
    <n v="197"/>
    <n v="4728"/>
    <n v="30"/>
    <s v="SmartDistrib"/>
  </r>
  <r>
    <s v="P00275"/>
    <d v="2025-08-10T00:00:00"/>
    <x v="7"/>
    <x v="0"/>
    <n v="297"/>
    <n v="7"/>
    <n v="53"/>
    <n v="251"/>
    <x v="3"/>
    <n v="1454"/>
    <n v="77062"/>
    <n v="12"/>
    <s v="SmartDistrib"/>
  </r>
  <r>
    <s v="P00098"/>
    <d v="2025-08-10T00:00:00"/>
    <x v="7"/>
    <x v="3"/>
    <n v="225"/>
    <n v="81"/>
    <n v="57"/>
    <n v="249"/>
    <x v="4"/>
    <n v="3683"/>
    <n v="209931"/>
    <n v="15"/>
    <s v="SmartDistrib"/>
  </r>
  <r>
    <s v="P00019"/>
    <d v="2025-08-11T00:00:00"/>
    <x v="7"/>
    <x v="1"/>
    <n v="120"/>
    <n v="58"/>
    <n v="0"/>
    <n v="178"/>
    <x v="2"/>
    <n v="2178"/>
    <n v="0"/>
    <n v="8"/>
    <s v="BureauPlus"/>
  </r>
  <r>
    <s v="P00100"/>
    <d v="2025-08-12T00:00:00"/>
    <x v="7"/>
    <x v="5"/>
    <n v="462"/>
    <n v="93"/>
    <n v="37"/>
    <n v="518"/>
    <x v="2"/>
    <n v="217"/>
    <n v="8029"/>
    <n v="30"/>
    <s v="TechSupply"/>
  </r>
  <r>
    <s v="P00063"/>
    <d v="2025-08-12T00:00:00"/>
    <x v="7"/>
    <x v="8"/>
    <n v="350"/>
    <n v="65"/>
    <n v="7"/>
    <n v="408"/>
    <x v="3"/>
    <n v="644"/>
    <n v="4508"/>
    <n v="20"/>
    <s v="OfficePro"/>
  </r>
  <r>
    <s v="P00400"/>
    <d v="2025-08-13T00:00:00"/>
    <x v="7"/>
    <x v="9"/>
    <n v="448"/>
    <n v="37"/>
    <n v="53"/>
    <n v="432"/>
    <x v="1"/>
    <n v="2318"/>
    <n v="122854"/>
    <n v="10"/>
    <s v="BureauPlus"/>
  </r>
  <r>
    <s v="P00347"/>
    <d v="2025-08-13T00:00:00"/>
    <x v="7"/>
    <x v="2"/>
    <n v="159"/>
    <n v="69"/>
    <n v="13"/>
    <n v="215"/>
    <x v="4"/>
    <n v="715"/>
    <n v="9295"/>
    <n v="12"/>
    <s v="BureauPlus"/>
  </r>
  <r>
    <s v="P00304"/>
    <d v="2025-08-14T00:00:00"/>
    <x v="7"/>
    <x v="7"/>
    <n v="200"/>
    <n v="53"/>
    <n v="9"/>
    <n v="244"/>
    <x v="4"/>
    <n v="5191"/>
    <n v="46719"/>
    <n v="8"/>
    <s v="Atlas Electronics"/>
  </r>
  <r>
    <s v="P00233"/>
    <d v="2025-08-14T00:00:00"/>
    <x v="7"/>
    <x v="6"/>
    <n v="276"/>
    <n v="98"/>
    <n v="18"/>
    <n v="356"/>
    <x v="3"/>
    <n v="511"/>
    <n v="9198"/>
    <n v="25"/>
    <s v="SmartDistrib"/>
  </r>
  <r>
    <s v="P00070"/>
    <d v="2025-08-15T00:00:00"/>
    <x v="7"/>
    <x v="5"/>
    <n v="385"/>
    <n v="27"/>
    <n v="32"/>
    <n v="380"/>
    <x v="4"/>
    <n v="322"/>
    <n v="10304"/>
    <n v="30"/>
    <s v="TechSupply"/>
  </r>
  <r>
    <s v="P00334"/>
    <d v="2025-08-15T00:00:00"/>
    <x v="7"/>
    <x v="4"/>
    <n v="99"/>
    <n v="87"/>
    <n v="13"/>
    <n v="173"/>
    <x v="0"/>
    <n v="189"/>
    <n v="2457"/>
    <n v="35"/>
    <s v="TechSupply"/>
  </r>
  <r>
    <s v="P00335"/>
    <d v="2025-08-17T00:00:00"/>
    <x v="7"/>
    <x v="4"/>
    <n v="454"/>
    <n v="7"/>
    <n v="29"/>
    <n v="432"/>
    <x v="3"/>
    <n v="73"/>
    <n v="2117"/>
    <n v="35"/>
    <s v="SmartDistrib"/>
  </r>
  <r>
    <s v="P00004"/>
    <d v="2025-08-18T00:00:00"/>
    <x v="7"/>
    <x v="9"/>
    <n v="341"/>
    <n v="35"/>
    <n v="51"/>
    <n v="325"/>
    <x v="4"/>
    <n v="913"/>
    <n v="46563"/>
    <n v="10"/>
    <s v="BureauPlus"/>
  </r>
  <r>
    <s v="P00340"/>
    <d v="2025-08-18T00:00:00"/>
    <x v="7"/>
    <x v="2"/>
    <n v="485"/>
    <n v="48"/>
    <n v="24"/>
    <n v="509"/>
    <x v="3"/>
    <n v="764"/>
    <n v="18336"/>
    <n v="12"/>
    <s v="OfficePro"/>
  </r>
  <r>
    <s v="P00286"/>
    <d v="2025-08-19T00:00:00"/>
    <x v="7"/>
    <x v="1"/>
    <n v="166"/>
    <n v="18"/>
    <n v="6"/>
    <n v="178"/>
    <x v="2"/>
    <n v="803"/>
    <n v="4818"/>
    <n v="8"/>
    <s v="SmartDistrib"/>
  </r>
  <r>
    <s v="P00175"/>
    <d v="2025-08-21T00:00:00"/>
    <x v="7"/>
    <x v="3"/>
    <n v="86"/>
    <n v="84"/>
    <n v="13"/>
    <n v="157"/>
    <x v="1"/>
    <n v="1887"/>
    <n v="24531"/>
    <n v="15"/>
    <s v="SmartDistrib"/>
  </r>
  <r>
    <s v="P00438"/>
    <d v="2025-08-21T00:00:00"/>
    <x v="7"/>
    <x v="8"/>
    <n v="289"/>
    <n v="41"/>
    <n v="37"/>
    <n v="293"/>
    <x v="1"/>
    <n v="252"/>
    <n v="9324"/>
    <n v="20"/>
    <s v="BureauPlus"/>
  </r>
  <r>
    <s v="P00146"/>
    <d v="2025-08-22T00:00:00"/>
    <x v="7"/>
    <x v="4"/>
    <n v="47"/>
    <n v="92"/>
    <n v="9"/>
    <n v="130"/>
    <x v="4"/>
    <n v="144"/>
    <n v="1296"/>
    <n v="35"/>
    <s v="TechSupply"/>
  </r>
  <r>
    <s v="P00076"/>
    <d v="2025-08-22T00:00:00"/>
    <x v="7"/>
    <x v="3"/>
    <n v="108"/>
    <n v="59"/>
    <n v="42"/>
    <n v="125"/>
    <x v="3"/>
    <n v="3975"/>
    <n v="166950"/>
    <n v="15"/>
    <s v="SmartDistrib"/>
  </r>
  <r>
    <s v="P00322"/>
    <d v="2025-08-23T00:00:00"/>
    <x v="7"/>
    <x v="0"/>
    <n v="371"/>
    <n v="32"/>
    <n v="45"/>
    <n v="358"/>
    <x v="1"/>
    <n v="1581"/>
    <n v="71145"/>
    <n v="12"/>
    <s v="TechSupply"/>
  </r>
  <r>
    <s v="P00059"/>
    <d v="2025-08-24T00:00:00"/>
    <x v="7"/>
    <x v="9"/>
    <n v="219"/>
    <n v="39"/>
    <n v="52"/>
    <n v="206"/>
    <x v="4"/>
    <n v="1366"/>
    <n v="71032"/>
    <n v="10"/>
    <s v="TechSupply"/>
  </r>
  <r>
    <s v="P00133"/>
    <d v="2025-08-25T00:00:00"/>
    <x v="7"/>
    <x v="4"/>
    <n v="251"/>
    <n v="6"/>
    <n v="12"/>
    <n v="245"/>
    <x v="2"/>
    <n v="172"/>
    <n v="2064"/>
    <n v="35"/>
    <s v="SmartDistrib"/>
  </r>
  <r>
    <s v="P00155"/>
    <d v="2025-08-27T00:00:00"/>
    <x v="7"/>
    <x v="7"/>
    <n v="187"/>
    <n v="86"/>
    <n v="34"/>
    <n v="239"/>
    <x v="1"/>
    <n v="4147"/>
    <n v="140998"/>
    <n v="8"/>
    <s v="Atlas Electronics"/>
  </r>
  <r>
    <s v="P00125"/>
    <d v="2025-08-28T00:00:00"/>
    <x v="7"/>
    <x v="3"/>
    <n v="392"/>
    <n v="38"/>
    <n v="44"/>
    <n v="386"/>
    <x v="2"/>
    <n v="3448"/>
    <n v="151712"/>
    <n v="15"/>
    <s v="SmartDistrib"/>
  </r>
  <r>
    <s v="P00032"/>
    <d v="2025-08-28T00:00:00"/>
    <x v="7"/>
    <x v="2"/>
    <n v="482"/>
    <n v="93"/>
    <n v="3"/>
    <n v="572"/>
    <x v="1"/>
    <n v="801"/>
    <n v="2403"/>
    <n v="12"/>
    <s v="BureauPlus"/>
  </r>
  <r>
    <s v="P00247"/>
    <d v="2025-08-29T00:00:00"/>
    <x v="7"/>
    <x v="2"/>
    <n v="62"/>
    <n v="81"/>
    <n v="24"/>
    <n v="119"/>
    <x v="2"/>
    <n v="1364"/>
    <n v="32736"/>
    <n v="12"/>
    <s v="OfficePro"/>
  </r>
  <r>
    <s v="P00215"/>
    <d v="2025-08-29T00:00:00"/>
    <x v="7"/>
    <x v="3"/>
    <n v="266"/>
    <n v="80"/>
    <n v="19"/>
    <n v="327"/>
    <x v="3"/>
    <n v="2925"/>
    <n v="55575"/>
    <n v="15"/>
    <s v="Atlas Electronics"/>
  </r>
  <r>
    <s v="P00144"/>
    <d v="2025-08-31T00:00:00"/>
    <x v="7"/>
    <x v="8"/>
    <n v="401"/>
    <n v="48"/>
    <n v="24"/>
    <n v="425"/>
    <x v="0"/>
    <n v="405"/>
    <n v="9720"/>
    <n v="20"/>
    <s v="OfficePro"/>
  </r>
  <r>
    <s v="P00078"/>
    <d v="2025-09-01T00:00:00"/>
    <x v="8"/>
    <x v="0"/>
    <n v="270"/>
    <n v="33"/>
    <n v="48"/>
    <n v="255"/>
    <x v="2"/>
    <n v="1706"/>
    <n v="81888"/>
    <n v="12"/>
    <s v="TechSupply"/>
  </r>
  <r>
    <s v="P00181"/>
    <d v="2025-09-01T00:00:00"/>
    <x v="8"/>
    <x v="3"/>
    <n v="269"/>
    <n v="99"/>
    <n v="23"/>
    <n v="345"/>
    <x v="3"/>
    <n v="3902"/>
    <n v="89746"/>
    <n v="15"/>
    <s v="Atlas Electronics"/>
  </r>
  <r>
    <s v="P00410"/>
    <d v="2025-09-01T00:00:00"/>
    <x v="8"/>
    <x v="8"/>
    <n v="89"/>
    <n v="56"/>
    <n v="46"/>
    <n v="99"/>
    <x v="2"/>
    <n v="713"/>
    <n v="32798"/>
    <n v="20"/>
    <s v="OfficePro"/>
  </r>
  <r>
    <s v="P00040"/>
    <d v="2025-09-02T00:00:00"/>
    <x v="8"/>
    <x v="6"/>
    <n v="297"/>
    <n v="67"/>
    <n v="10"/>
    <n v="354"/>
    <x v="3"/>
    <n v="178"/>
    <n v="1780"/>
    <n v="25"/>
    <s v="Atlas Electronics"/>
  </r>
  <r>
    <s v="P00312"/>
    <d v="2025-09-03T00:00:00"/>
    <x v="8"/>
    <x v="1"/>
    <n v="149"/>
    <n v="25"/>
    <n v="52"/>
    <n v="122"/>
    <x v="2"/>
    <n v="1803"/>
    <n v="93756"/>
    <n v="8"/>
    <s v="SmartDistrib"/>
  </r>
  <r>
    <s v="P00036"/>
    <d v="2025-09-04T00:00:00"/>
    <x v="8"/>
    <x v="5"/>
    <n v="149"/>
    <n v="51"/>
    <n v="57"/>
    <n v="143"/>
    <x v="4"/>
    <n v="110"/>
    <n v="6270"/>
    <n v="30"/>
    <s v="SmartDistrib"/>
  </r>
  <r>
    <s v="P00282"/>
    <d v="2025-09-05T00:00:00"/>
    <x v="8"/>
    <x v="1"/>
    <n v="165"/>
    <n v="87"/>
    <n v="25"/>
    <n v="227"/>
    <x v="0"/>
    <n v="1309"/>
    <n v="32725"/>
    <n v="8"/>
    <s v="BureauPlus"/>
  </r>
  <r>
    <s v="P00138"/>
    <d v="2025-09-05T00:00:00"/>
    <x v="8"/>
    <x v="2"/>
    <n v="281"/>
    <n v="31"/>
    <n v="29"/>
    <n v="283"/>
    <x v="4"/>
    <n v="1728"/>
    <n v="50112"/>
    <n v="12"/>
    <s v="BureauPlus"/>
  </r>
  <r>
    <s v="P00408"/>
    <d v="2025-09-05T00:00:00"/>
    <x v="8"/>
    <x v="7"/>
    <n v="93"/>
    <n v="37"/>
    <n v="26"/>
    <n v="104"/>
    <x v="1"/>
    <n v="3851"/>
    <n v="100126"/>
    <n v="8"/>
    <s v="TechSupply"/>
  </r>
  <r>
    <s v="P00436"/>
    <d v="2025-09-08T00:00:00"/>
    <x v="8"/>
    <x v="2"/>
    <n v="112"/>
    <n v="73"/>
    <n v="40"/>
    <n v="145"/>
    <x v="0"/>
    <n v="1150"/>
    <n v="46000"/>
    <n v="12"/>
    <s v="BureauPlus"/>
  </r>
  <r>
    <s v="P00456"/>
    <d v="2025-09-11T00:00:00"/>
    <x v="8"/>
    <x v="9"/>
    <n v="237"/>
    <n v="14"/>
    <n v="15"/>
    <n v="236"/>
    <x v="3"/>
    <n v="1923"/>
    <n v="28845"/>
    <n v="10"/>
    <s v="TechSupply"/>
  </r>
  <r>
    <s v="P00074"/>
    <d v="2025-09-11T00:00:00"/>
    <x v="8"/>
    <x v="2"/>
    <n v="244"/>
    <n v="31"/>
    <n v="9"/>
    <n v="266"/>
    <x v="1"/>
    <n v="611"/>
    <n v="5499"/>
    <n v="12"/>
    <s v="BureauPlus"/>
  </r>
  <r>
    <s v="P00255"/>
    <d v="2025-09-12T00:00:00"/>
    <x v="8"/>
    <x v="0"/>
    <n v="394"/>
    <n v="63"/>
    <n v="23"/>
    <n v="434"/>
    <x v="3"/>
    <n v="2832"/>
    <n v="65136"/>
    <n v="12"/>
    <s v="TechSupply"/>
  </r>
  <r>
    <s v="P00496"/>
    <d v="2025-09-12T00:00:00"/>
    <x v="8"/>
    <x v="2"/>
    <n v="55"/>
    <n v="48"/>
    <n v="43"/>
    <n v="60"/>
    <x v="4"/>
    <n v="1473"/>
    <n v="63339"/>
    <n v="12"/>
    <s v="BureauPlus"/>
  </r>
  <r>
    <s v="P00498"/>
    <d v="2025-09-13T00:00:00"/>
    <x v="8"/>
    <x v="1"/>
    <n v="250"/>
    <n v="70"/>
    <n v="30"/>
    <n v="290"/>
    <x v="1"/>
    <n v="824"/>
    <n v="24720"/>
    <n v="8"/>
    <s v="SmartDistrib"/>
  </r>
  <r>
    <s v="P00376"/>
    <d v="2025-09-13T00:00:00"/>
    <x v="8"/>
    <x v="3"/>
    <n v="472"/>
    <n v="55"/>
    <n v="41"/>
    <n v="486"/>
    <x v="3"/>
    <n v="3156"/>
    <n v="129396"/>
    <n v="15"/>
    <s v="Atlas Electronics"/>
  </r>
  <r>
    <s v="P00145"/>
    <d v="2025-09-15T00:00:00"/>
    <x v="8"/>
    <x v="0"/>
    <n v="342"/>
    <n v="42"/>
    <n v="55"/>
    <n v="329"/>
    <x v="0"/>
    <n v="1405"/>
    <n v="77275"/>
    <n v="12"/>
    <s v="SmartDistrib"/>
  </r>
  <r>
    <s v="P00182"/>
    <d v="2025-09-15T00:00:00"/>
    <x v="8"/>
    <x v="5"/>
    <n v="153"/>
    <n v="78"/>
    <n v="2"/>
    <n v="229"/>
    <x v="2"/>
    <n v="346"/>
    <n v="692"/>
    <n v="30"/>
    <s v="SmartDistrib"/>
  </r>
  <r>
    <s v="P00333"/>
    <d v="2025-09-16T00:00:00"/>
    <x v="8"/>
    <x v="4"/>
    <n v="143"/>
    <n v="73"/>
    <n v="34"/>
    <n v="182"/>
    <x v="4"/>
    <n v="78"/>
    <n v="2652"/>
    <n v="35"/>
    <s v="SmartDistrib"/>
  </r>
  <r>
    <s v="P00369"/>
    <d v="2025-09-16T00:00:00"/>
    <x v="8"/>
    <x v="9"/>
    <n v="273"/>
    <n v="47"/>
    <n v="3"/>
    <n v="317"/>
    <x v="3"/>
    <n v="2165"/>
    <n v="6495"/>
    <n v="10"/>
    <s v="BureauPlus"/>
  </r>
  <r>
    <s v="P00321"/>
    <d v="2025-09-16T00:00:00"/>
    <x v="8"/>
    <x v="0"/>
    <n v="279"/>
    <n v="34"/>
    <n v="12"/>
    <n v="301"/>
    <x v="1"/>
    <n v="2856"/>
    <n v="34272"/>
    <n v="12"/>
    <s v="TechSupply"/>
  </r>
  <r>
    <s v="P00050"/>
    <d v="2025-09-16T00:00:00"/>
    <x v="8"/>
    <x v="1"/>
    <n v="290"/>
    <n v="32"/>
    <n v="57"/>
    <n v="265"/>
    <x v="1"/>
    <n v="804"/>
    <n v="45828"/>
    <n v="8"/>
    <s v="SmartDistrib"/>
  </r>
  <r>
    <s v="P00003"/>
    <d v="2025-09-16T00:00:00"/>
    <x v="8"/>
    <x v="9"/>
    <n v="348"/>
    <n v="3"/>
    <n v="35"/>
    <n v="316"/>
    <x v="3"/>
    <n v="1307"/>
    <n v="45745"/>
    <n v="10"/>
    <s v="BureauPlus"/>
  </r>
  <r>
    <s v="P00216"/>
    <d v="2025-09-17T00:00:00"/>
    <x v="8"/>
    <x v="8"/>
    <n v="77"/>
    <n v="39"/>
    <n v="29"/>
    <n v="87"/>
    <x v="1"/>
    <n v="712"/>
    <n v="20648"/>
    <n v="20"/>
    <s v="OfficePro"/>
  </r>
  <r>
    <s v="P00471"/>
    <d v="2025-09-18T00:00:00"/>
    <x v="8"/>
    <x v="9"/>
    <n v="41"/>
    <n v="5"/>
    <n v="0"/>
    <n v="46"/>
    <x v="1"/>
    <n v="1400"/>
    <n v="0"/>
    <n v="10"/>
    <s v="BureauPlus"/>
  </r>
  <r>
    <s v="P00299"/>
    <d v="2025-09-18T00:00:00"/>
    <x v="8"/>
    <x v="4"/>
    <n v="312"/>
    <n v="62"/>
    <n v="45"/>
    <n v="329"/>
    <x v="2"/>
    <n v="184"/>
    <n v="8280"/>
    <n v="35"/>
    <s v="SmartDistrib"/>
  </r>
  <r>
    <s v="P00260"/>
    <d v="2025-09-20T00:00:00"/>
    <x v="8"/>
    <x v="8"/>
    <n v="450"/>
    <n v="95"/>
    <n v="43"/>
    <n v="502"/>
    <x v="1"/>
    <n v="413"/>
    <n v="17759"/>
    <n v="20"/>
    <s v="OfficePro"/>
  </r>
  <r>
    <s v="P00361"/>
    <d v="2025-09-20T00:00:00"/>
    <x v="8"/>
    <x v="8"/>
    <n v="491"/>
    <n v="63"/>
    <n v="29"/>
    <n v="525"/>
    <x v="0"/>
    <n v="350"/>
    <n v="10150"/>
    <n v="20"/>
    <s v="BureauPlus"/>
  </r>
  <r>
    <s v="P00071"/>
    <d v="2025-09-21T00:00:00"/>
    <x v="8"/>
    <x v="1"/>
    <n v="379"/>
    <n v="81"/>
    <n v="39"/>
    <n v="421"/>
    <x v="1"/>
    <n v="1386"/>
    <n v="54054"/>
    <n v="8"/>
    <s v="BureauPlus"/>
  </r>
  <r>
    <s v="P00324"/>
    <d v="2025-09-21T00:00:00"/>
    <x v="8"/>
    <x v="2"/>
    <n v="207"/>
    <n v="11"/>
    <n v="25"/>
    <n v="193"/>
    <x v="4"/>
    <n v="795"/>
    <n v="19875"/>
    <n v="12"/>
    <s v="OfficePro"/>
  </r>
  <r>
    <s v="P00285"/>
    <d v="2025-09-21T00:00:00"/>
    <x v="8"/>
    <x v="8"/>
    <n v="327"/>
    <n v="13"/>
    <n v="20"/>
    <n v="320"/>
    <x v="0"/>
    <n v="497"/>
    <n v="9940"/>
    <n v="20"/>
    <s v="OfficePro"/>
  </r>
  <r>
    <s v="P00265"/>
    <d v="2025-09-23T00:00:00"/>
    <x v="8"/>
    <x v="5"/>
    <n v="238"/>
    <n v="71"/>
    <n v="7"/>
    <n v="302"/>
    <x v="2"/>
    <n v="214"/>
    <n v="1498"/>
    <n v="30"/>
    <s v="SmartDistrib"/>
  </r>
  <r>
    <s v="P00455"/>
    <d v="2025-09-23T00:00:00"/>
    <x v="8"/>
    <x v="9"/>
    <n v="350"/>
    <n v="65"/>
    <n v="12"/>
    <n v="403"/>
    <x v="2"/>
    <n v="1702"/>
    <n v="20424"/>
    <n v="10"/>
    <s v="TechSupply"/>
  </r>
  <r>
    <s v="P00391"/>
    <d v="2025-09-24T00:00:00"/>
    <x v="8"/>
    <x v="6"/>
    <n v="126"/>
    <n v="87"/>
    <n v="24"/>
    <n v="189"/>
    <x v="4"/>
    <n v="293"/>
    <n v="7032"/>
    <n v="25"/>
    <s v="SmartDistrib"/>
  </r>
  <r>
    <s v="P00099"/>
    <d v="2025-09-25T00:00:00"/>
    <x v="8"/>
    <x v="0"/>
    <n v="373"/>
    <n v="34"/>
    <n v="39"/>
    <n v="368"/>
    <x v="3"/>
    <n v="2855"/>
    <n v="111345"/>
    <n v="12"/>
    <s v="TechSupply"/>
  </r>
  <r>
    <s v="P00221"/>
    <d v="2025-09-26T00:00:00"/>
    <x v="8"/>
    <x v="5"/>
    <n v="307"/>
    <n v="78"/>
    <n v="10"/>
    <n v="375"/>
    <x v="2"/>
    <n v="266"/>
    <n v="2660"/>
    <n v="30"/>
    <s v="SmartDistrib"/>
  </r>
  <r>
    <s v="P00417"/>
    <d v="2025-09-28T00:00:00"/>
    <x v="8"/>
    <x v="5"/>
    <n v="367"/>
    <n v="40"/>
    <n v="38"/>
    <n v="369"/>
    <x v="3"/>
    <n v="278"/>
    <n v="10564"/>
    <n v="30"/>
    <s v="SmartDistrib"/>
  </r>
  <r>
    <s v="P00025"/>
    <d v="2025-09-28T00:00:00"/>
    <x v="8"/>
    <x v="1"/>
    <n v="486"/>
    <n v="77"/>
    <n v="27"/>
    <n v="536"/>
    <x v="3"/>
    <n v="1133"/>
    <n v="30591"/>
    <n v="8"/>
    <s v="BureauPlus"/>
  </r>
  <r>
    <s v="P00186"/>
    <d v="2025-09-29T00:00:00"/>
    <x v="8"/>
    <x v="6"/>
    <n v="190"/>
    <n v="58"/>
    <n v="32"/>
    <n v="216"/>
    <x v="1"/>
    <n v="560"/>
    <n v="17920"/>
    <n v="25"/>
    <s v="Atlas Electronics"/>
  </r>
  <r>
    <s v="P00024"/>
    <d v="2025-09-30T00:00:00"/>
    <x v="8"/>
    <x v="3"/>
    <n v="432"/>
    <n v="16"/>
    <n v="8"/>
    <n v="440"/>
    <x v="3"/>
    <n v="3746"/>
    <n v="29968"/>
    <n v="15"/>
    <s v="Atlas Electronics"/>
  </r>
  <r>
    <s v="P00307"/>
    <d v="2025-09-30T00:00:00"/>
    <x v="8"/>
    <x v="5"/>
    <n v="215"/>
    <n v="69"/>
    <n v="22"/>
    <n v="262"/>
    <x v="3"/>
    <n v="215"/>
    <n v="4730"/>
    <n v="30"/>
    <s v="SmartDistrib"/>
  </r>
  <r>
    <s v="P00109"/>
    <d v="2025-10-02T00:00:00"/>
    <x v="9"/>
    <x v="3"/>
    <n v="430"/>
    <n v="88"/>
    <n v="11"/>
    <n v="507"/>
    <x v="4"/>
    <n v="2584"/>
    <n v="28424"/>
    <n v="15"/>
    <s v="SmartDistrib"/>
  </r>
  <r>
    <s v="P00433"/>
    <d v="2025-10-03T00:00:00"/>
    <x v="9"/>
    <x v="6"/>
    <n v="126"/>
    <n v="41"/>
    <n v="45"/>
    <n v="122"/>
    <x v="2"/>
    <n v="419"/>
    <n v="18855"/>
    <n v="25"/>
    <s v="SmartDistrib"/>
  </r>
  <r>
    <s v="P00229"/>
    <d v="2025-10-04T00:00:00"/>
    <x v="9"/>
    <x v="4"/>
    <n v="467"/>
    <n v="94"/>
    <n v="56"/>
    <n v="505"/>
    <x v="1"/>
    <n v="174"/>
    <n v="9744"/>
    <n v="35"/>
    <s v="SmartDistrib"/>
  </r>
  <r>
    <s v="P00082"/>
    <d v="2025-10-05T00:00:00"/>
    <x v="9"/>
    <x v="8"/>
    <n v="278"/>
    <n v="53"/>
    <n v="3"/>
    <n v="328"/>
    <x v="0"/>
    <n v="461"/>
    <n v="1383"/>
    <n v="20"/>
    <s v="BureauPlus"/>
  </r>
  <r>
    <s v="P00479"/>
    <d v="2025-10-05T00:00:00"/>
    <x v="9"/>
    <x v="9"/>
    <n v="217"/>
    <n v="81"/>
    <n v="53"/>
    <n v="245"/>
    <x v="1"/>
    <n v="2320"/>
    <n v="122960"/>
    <n v="10"/>
    <s v="BureauPlus"/>
  </r>
  <r>
    <s v="P00123"/>
    <d v="2025-10-06T00:00:00"/>
    <x v="9"/>
    <x v="3"/>
    <n v="155"/>
    <n v="82"/>
    <n v="9"/>
    <n v="228"/>
    <x v="4"/>
    <n v="2888"/>
    <n v="25992"/>
    <n v="15"/>
    <s v="Atlas Electronics"/>
  </r>
  <r>
    <s v="P00174"/>
    <d v="2025-10-06T00:00:00"/>
    <x v="9"/>
    <x v="8"/>
    <n v="370"/>
    <n v="45"/>
    <n v="3"/>
    <n v="412"/>
    <x v="2"/>
    <n v="657"/>
    <n v="1971"/>
    <n v="20"/>
    <s v="OfficePro"/>
  </r>
  <r>
    <s v="P00458"/>
    <d v="2025-10-07T00:00:00"/>
    <x v="9"/>
    <x v="8"/>
    <n v="389"/>
    <n v="22"/>
    <n v="48"/>
    <n v="363"/>
    <x v="1"/>
    <n v="732"/>
    <n v="35136"/>
    <n v="20"/>
    <s v="OfficePro"/>
  </r>
  <r>
    <s v="P00399"/>
    <d v="2025-10-07T00:00:00"/>
    <x v="9"/>
    <x v="6"/>
    <n v="132"/>
    <n v="87"/>
    <n v="49"/>
    <n v="170"/>
    <x v="1"/>
    <n v="683"/>
    <n v="33467"/>
    <n v="25"/>
    <s v="SmartDistrib"/>
  </r>
  <r>
    <s v="P00429"/>
    <d v="2025-10-07T00:00:00"/>
    <x v="9"/>
    <x v="5"/>
    <n v="151"/>
    <n v="54"/>
    <n v="6"/>
    <n v="199"/>
    <x v="2"/>
    <n v="206"/>
    <n v="1236"/>
    <n v="30"/>
    <s v="TechSupply"/>
  </r>
  <r>
    <s v="P00478"/>
    <d v="2025-10-07T00:00:00"/>
    <x v="9"/>
    <x v="9"/>
    <n v="429"/>
    <n v="31"/>
    <n v="9"/>
    <n v="451"/>
    <x v="0"/>
    <n v="913"/>
    <n v="8217"/>
    <n v="10"/>
    <s v="TechSupply"/>
  </r>
  <r>
    <s v="P00053"/>
    <d v="2025-10-07T00:00:00"/>
    <x v="9"/>
    <x v="0"/>
    <n v="58"/>
    <n v="47"/>
    <n v="37"/>
    <n v="68"/>
    <x v="4"/>
    <n v="2331"/>
    <n v="86247"/>
    <n v="12"/>
    <s v="TechSupply"/>
  </r>
  <r>
    <s v="P00052"/>
    <d v="2025-10-10T00:00:00"/>
    <x v="9"/>
    <x v="5"/>
    <n v="401"/>
    <n v="54"/>
    <n v="35"/>
    <n v="420"/>
    <x v="1"/>
    <n v="84"/>
    <n v="2940"/>
    <n v="30"/>
    <s v="TechSupply"/>
  </r>
  <r>
    <s v="P00107"/>
    <d v="2025-10-11T00:00:00"/>
    <x v="9"/>
    <x v="5"/>
    <n v="311"/>
    <n v="44"/>
    <n v="27"/>
    <n v="328"/>
    <x v="2"/>
    <n v="249"/>
    <n v="6723"/>
    <n v="30"/>
    <s v="SmartDistrib"/>
  </r>
  <r>
    <s v="P00049"/>
    <d v="2025-10-11T00:00:00"/>
    <x v="9"/>
    <x v="3"/>
    <n v="119"/>
    <n v="34"/>
    <n v="18"/>
    <n v="135"/>
    <x v="2"/>
    <n v="2662"/>
    <n v="47916"/>
    <n v="15"/>
    <s v="Atlas Electronics"/>
  </r>
  <r>
    <s v="P00067"/>
    <d v="2025-10-11T00:00:00"/>
    <x v="9"/>
    <x v="1"/>
    <n v="105"/>
    <n v="24"/>
    <n v="26"/>
    <n v="103"/>
    <x v="0"/>
    <n v="2061"/>
    <n v="53586"/>
    <n v="8"/>
    <s v="BureauPlus"/>
  </r>
  <r>
    <s v="P00293"/>
    <d v="2025-10-11T00:00:00"/>
    <x v="9"/>
    <x v="8"/>
    <n v="187"/>
    <n v="9"/>
    <n v="24"/>
    <n v="172"/>
    <x v="0"/>
    <n v="766"/>
    <n v="18384"/>
    <n v="20"/>
    <s v="BureauPlus"/>
  </r>
  <r>
    <s v="P00384"/>
    <d v="2025-10-11T00:00:00"/>
    <x v="9"/>
    <x v="8"/>
    <n v="232"/>
    <n v="55"/>
    <n v="11"/>
    <n v="276"/>
    <x v="0"/>
    <n v="849"/>
    <n v="9339"/>
    <n v="20"/>
    <s v="OfficePro"/>
  </r>
  <r>
    <s v="P00491"/>
    <d v="2025-10-12T00:00:00"/>
    <x v="9"/>
    <x v="5"/>
    <n v="423"/>
    <n v="70"/>
    <n v="15"/>
    <n v="478"/>
    <x v="0"/>
    <n v="128"/>
    <n v="1920"/>
    <n v="30"/>
    <s v="TechSupply"/>
  </r>
  <r>
    <s v="P00354"/>
    <d v="2025-10-13T00:00:00"/>
    <x v="9"/>
    <x v="2"/>
    <n v="311"/>
    <n v="17"/>
    <n v="24"/>
    <n v="304"/>
    <x v="2"/>
    <n v="1097"/>
    <n v="26328"/>
    <n v="12"/>
    <s v="OfficePro"/>
  </r>
  <r>
    <s v="P00350"/>
    <d v="2025-10-13T00:00:00"/>
    <x v="9"/>
    <x v="7"/>
    <n v="342"/>
    <n v="94"/>
    <n v="58"/>
    <n v="378"/>
    <x v="0"/>
    <n v="4217"/>
    <n v="244586"/>
    <n v="8"/>
    <s v="Atlas Electronics"/>
  </r>
  <r>
    <s v="P00295"/>
    <d v="2025-10-13T00:00:00"/>
    <x v="9"/>
    <x v="8"/>
    <n v="227"/>
    <n v="96"/>
    <n v="9"/>
    <n v="314"/>
    <x v="3"/>
    <n v="453"/>
    <n v="4077"/>
    <n v="20"/>
    <s v="BureauPlus"/>
  </r>
  <r>
    <s v="P00191"/>
    <d v="2025-10-15T00:00:00"/>
    <x v="9"/>
    <x v="6"/>
    <n v="327"/>
    <n v="42"/>
    <n v="42"/>
    <n v="327"/>
    <x v="0"/>
    <n v="245"/>
    <n v="10290"/>
    <n v="25"/>
    <s v="SmartDistrib"/>
  </r>
  <r>
    <s v="P00336"/>
    <d v="2025-10-16T00:00:00"/>
    <x v="9"/>
    <x v="5"/>
    <n v="69"/>
    <n v="71"/>
    <n v="29"/>
    <n v="111"/>
    <x v="1"/>
    <n v="237"/>
    <n v="6873"/>
    <n v="30"/>
    <s v="SmartDistrib"/>
  </r>
  <r>
    <s v="P00450"/>
    <d v="2025-10-16T00:00:00"/>
    <x v="9"/>
    <x v="4"/>
    <n v="44"/>
    <n v="78"/>
    <n v="41"/>
    <n v="81"/>
    <x v="0"/>
    <n v="82"/>
    <n v="3362"/>
    <n v="35"/>
    <s v="SmartDistrib"/>
  </r>
  <r>
    <s v="P00427"/>
    <d v="2025-10-17T00:00:00"/>
    <x v="9"/>
    <x v="5"/>
    <n v="420"/>
    <n v="98"/>
    <n v="49"/>
    <n v="469"/>
    <x v="3"/>
    <n v="333"/>
    <n v="16317"/>
    <n v="30"/>
    <s v="TechSupply"/>
  </r>
  <r>
    <s v="P00470"/>
    <d v="2025-10-18T00:00:00"/>
    <x v="9"/>
    <x v="5"/>
    <n v="125"/>
    <n v="47"/>
    <n v="10"/>
    <n v="162"/>
    <x v="1"/>
    <n v="210"/>
    <n v="2100"/>
    <n v="30"/>
    <s v="TechSupply"/>
  </r>
  <r>
    <s v="P00323"/>
    <d v="2025-10-18T00:00:00"/>
    <x v="9"/>
    <x v="1"/>
    <n v="385"/>
    <n v="96"/>
    <n v="12"/>
    <n v="469"/>
    <x v="3"/>
    <n v="1059"/>
    <n v="12708"/>
    <n v="8"/>
    <s v="SmartDistrib"/>
  </r>
  <r>
    <s v="P00042"/>
    <d v="2025-10-19T00:00:00"/>
    <x v="9"/>
    <x v="3"/>
    <n v="166"/>
    <n v="74"/>
    <n v="38"/>
    <n v="202"/>
    <x v="3"/>
    <n v="1962"/>
    <n v="74556"/>
    <n v="15"/>
    <s v="Atlas Electronics"/>
  </r>
  <r>
    <s v="P00068"/>
    <d v="2025-10-19T00:00:00"/>
    <x v="9"/>
    <x v="6"/>
    <n v="194"/>
    <n v="51"/>
    <n v="35"/>
    <n v="210"/>
    <x v="2"/>
    <n v="120"/>
    <n v="4200"/>
    <n v="25"/>
    <s v="SmartDistrib"/>
  </r>
  <r>
    <s v="P00474"/>
    <d v="2025-10-20T00:00:00"/>
    <x v="9"/>
    <x v="3"/>
    <n v="230"/>
    <n v="15"/>
    <n v="32"/>
    <n v="213"/>
    <x v="4"/>
    <n v="2015"/>
    <n v="64480"/>
    <n v="15"/>
    <s v="Atlas Electronics"/>
  </r>
  <r>
    <s v="P00348"/>
    <d v="2025-10-22T00:00:00"/>
    <x v="9"/>
    <x v="9"/>
    <n v="203"/>
    <n v="73"/>
    <n v="38"/>
    <n v="238"/>
    <x v="2"/>
    <n v="2277"/>
    <n v="86526"/>
    <n v="10"/>
    <s v="TechSupply"/>
  </r>
  <r>
    <s v="P00273"/>
    <d v="2025-10-22T00:00:00"/>
    <x v="9"/>
    <x v="2"/>
    <n v="77"/>
    <n v="16"/>
    <n v="20"/>
    <n v="73"/>
    <x v="0"/>
    <n v="751"/>
    <n v="15020"/>
    <n v="12"/>
    <s v="BureauPlus"/>
  </r>
  <r>
    <s v="P00128"/>
    <d v="2025-10-23T00:00:00"/>
    <x v="9"/>
    <x v="1"/>
    <n v="60"/>
    <n v="97"/>
    <n v="48"/>
    <n v="109"/>
    <x v="0"/>
    <n v="1058"/>
    <n v="50784"/>
    <n v="8"/>
    <s v="SmartDistrib"/>
  </r>
  <r>
    <s v="P00141"/>
    <d v="2025-10-24T00:00:00"/>
    <x v="9"/>
    <x v="6"/>
    <n v="377"/>
    <n v="62"/>
    <n v="55"/>
    <n v="384"/>
    <x v="0"/>
    <n v="272"/>
    <n v="14960"/>
    <n v="25"/>
    <s v="SmartDistrib"/>
  </r>
  <r>
    <s v="P00039"/>
    <d v="2025-10-24T00:00:00"/>
    <x v="9"/>
    <x v="7"/>
    <n v="416"/>
    <n v="69"/>
    <n v="3"/>
    <n v="482"/>
    <x v="1"/>
    <n v="4784"/>
    <n v="14352"/>
    <n v="8"/>
    <s v="TechSupply"/>
  </r>
  <r>
    <s v="P00218"/>
    <d v="2025-10-25T00:00:00"/>
    <x v="9"/>
    <x v="5"/>
    <n v="323"/>
    <n v="94"/>
    <n v="57"/>
    <n v="360"/>
    <x v="0"/>
    <n v="101"/>
    <n v="5757"/>
    <n v="30"/>
    <s v="TechSupply"/>
  </r>
  <r>
    <s v="P00279"/>
    <d v="2025-10-25T00:00:00"/>
    <x v="9"/>
    <x v="6"/>
    <n v="118"/>
    <n v="21"/>
    <n v="42"/>
    <n v="97"/>
    <x v="3"/>
    <n v="465"/>
    <n v="19530"/>
    <n v="25"/>
    <s v="Atlas Electronics"/>
  </r>
  <r>
    <s v="P00483"/>
    <d v="2025-10-25T00:00:00"/>
    <x v="9"/>
    <x v="3"/>
    <n v="88"/>
    <n v="64"/>
    <n v="8"/>
    <n v="144"/>
    <x v="1"/>
    <n v="3415"/>
    <n v="27320"/>
    <n v="15"/>
    <s v="Atlas Electronics"/>
  </r>
  <r>
    <s v="P00062"/>
    <d v="2025-10-25T00:00:00"/>
    <x v="9"/>
    <x v="0"/>
    <n v="175"/>
    <n v="4"/>
    <n v="6"/>
    <n v="173"/>
    <x v="0"/>
    <n v="2421"/>
    <n v="14526"/>
    <n v="12"/>
    <s v="TechSupply"/>
  </r>
  <r>
    <s v="P00302"/>
    <d v="2025-10-26T00:00:00"/>
    <x v="9"/>
    <x v="7"/>
    <n v="285"/>
    <n v="21"/>
    <n v="33"/>
    <n v="273"/>
    <x v="3"/>
    <n v="6076"/>
    <n v="200508"/>
    <n v="8"/>
    <s v="Atlas Electronics"/>
  </r>
  <r>
    <s v="P00154"/>
    <d v="2025-10-26T00:00:00"/>
    <x v="9"/>
    <x v="5"/>
    <n v="113"/>
    <n v="29"/>
    <n v="29"/>
    <n v="113"/>
    <x v="0"/>
    <n v="210"/>
    <n v="6090"/>
    <n v="30"/>
    <s v="SmartDistrib"/>
  </r>
  <r>
    <s v="P00167"/>
    <d v="2025-10-27T00:00:00"/>
    <x v="9"/>
    <x v="1"/>
    <n v="235"/>
    <n v="81"/>
    <n v="60"/>
    <n v="256"/>
    <x v="1"/>
    <n v="1460"/>
    <n v="87600"/>
    <n v="8"/>
    <s v="BureauPlus"/>
  </r>
  <r>
    <s v="P00156"/>
    <d v="2025-10-28T00:00:00"/>
    <x v="9"/>
    <x v="8"/>
    <n v="193"/>
    <n v="81"/>
    <n v="27"/>
    <n v="247"/>
    <x v="0"/>
    <n v="506"/>
    <n v="13662"/>
    <n v="20"/>
    <s v="BureauPlus"/>
  </r>
  <r>
    <s v="P00357"/>
    <d v="2025-10-28T00:00:00"/>
    <x v="9"/>
    <x v="9"/>
    <n v="410"/>
    <n v="85"/>
    <n v="35"/>
    <n v="460"/>
    <x v="0"/>
    <n v="1344"/>
    <n v="47040"/>
    <n v="10"/>
    <s v="TechSupply"/>
  </r>
  <r>
    <s v="P00463"/>
    <d v="2025-10-28T00:00:00"/>
    <x v="9"/>
    <x v="2"/>
    <n v="364"/>
    <n v="97"/>
    <n v="53"/>
    <n v="408"/>
    <x v="2"/>
    <n v="735"/>
    <n v="38955"/>
    <n v="12"/>
    <s v="BureauPlus"/>
  </r>
  <r>
    <s v="P00110"/>
    <d v="2025-10-29T00:00:00"/>
    <x v="9"/>
    <x v="1"/>
    <n v="429"/>
    <n v="67"/>
    <n v="38"/>
    <n v="458"/>
    <x v="1"/>
    <n v="1279"/>
    <n v="48602"/>
    <n v="8"/>
    <s v="BureauPlus"/>
  </r>
  <r>
    <s v="P00087"/>
    <d v="2025-10-31T00:00:00"/>
    <x v="9"/>
    <x v="2"/>
    <n v="328"/>
    <n v="84"/>
    <n v="1"/>
    <n v="411"/>
    <x v="0"/>
    <n v="771"/>
    <n v="771"/>
    <n v="12"/>
    <s v="OfficePro"/>
  </r>
  <r>
    <s v="P00225"/>
    <d v="2025-11-01T00:00:00"/>
    <x v="10"/>
    <x v="0"/>
    <n v="402"/>
    <n v="10"/>
    <n v="19"/>
    <n v="393"/>
    <x v="0"/>
    <n v="2344"/>
    <n v="44536"/>
    <n v="12"/>
    <s v="TechSupply"/>
  </r>
  <r>
    <s v="P00394"/>
    <d v="2025-11-01T00:00:00"/>
    <x v="10"/>
    <x v="5"/>
    <n v="355"/>
    <n v="25"/>
    <n v="29"/>
    <n v="351"/>
    <x v="4"/>
    <n v="134"/>
    <n v="3886"/>
    <n v="30"/>
    <s v="SmartDistrib"/>
  </r>
  <r>
    <s v="P00244"/>
    <d v="2025-11-02T00:00:00"/>
    <x v="10"/>
    <x v="5"/>
    <n v="314"/>
    <n v="2"/>
    <n v="40"/>
    <n v="276"/>
    <x v="3"/>
    <n v="343"/>
    <n v="13720"/>
    <n v="30"/>
    <s v="TechSupply"/>
  </r>
  <r>
    <s v="P00421"/>
    <d v="2025-11-02T00:00:00"/>
    <x v="10"/>
    <x v="2"/>
    <n v="110"/>
    <n v="73"/>
    <n v="24"/>
    <n v="159"/>
    <x v="4"/>
    <n v="1466"/>
    <n v="35184"/>
    <n v="12"/>
    <s v="BureauPlus"/>
  </r>
  <r>
    <s v="P00199"/>
    <d v="2025-11-02T00:00:00"/>
    <x v="10"/>
    <x v="6"/>
    <n v="83"/>
    <n v="6"/>
    <n v="9"/>
    <n v="80"/>
    <x v="3"/>
    <n v="281"/>
    <n v="2529"/>
    <n v="25"/>
    <s v="Atlas Electronics"/>
  </r>
  <r>
    <s v="P00301"/>
    <d v="2025-11-02T00:00:00"/>
    <x v="10"/>
    <x v="7"/>
    <n v="282"/>
    <n v="33"/>
    <n v="41"/>
    <n v="274"/>
    <x v="3"/>
    <n v="5869"/>
    <n v="240629"/>
    <n v="8"/>
    <s v="TechSupply"/>
  </r>
  <r>
    <s v="P00346"/>
    <d v="2025-11-03T00:00:00"/>
    <x v="10"/>
    <x v="5"/>
    <n v="384"/>
    <n v="90"/>
    <n v="55"/>
    <n v="419"/>
    <x v="4"/>
    <n v="104"/>
    <n v="5720"/>
    <n v="30"/>
    <s v="TechSupply"/>
  </r>
  <r>
    <s v="P00139"/>
    <d v="2025-11-03T00:00:00"/>
    <x v="10"/>
    <x v="9"/>
    <n v="300"/>
    <n v="95"/>
    <n v="56"/>
    <n v="339"/>
    <x v="1"/>
    <n v="1179"/>
    <n v="66024"/>
    <n v="10"/>
    <s v="BureauPlus"/>
  </r>
  <r>
    <s v="P00454"/>
    <d v="2025-11-04T00:00:00"/>
    <x v="10"/>
    <x v="4"/>
    <n v="347"/>
    <n v="92"/>
    <n v="38"/>
    <n v="401"/>
    <x v="1"/>
    <n v="112"/>
    <n v="4256"/>
    <n v="35"/>
    <s v="SmartDistrib"/>
  </r>
  <r>
    <s v="P00320"/>
    <d v="2025-11-05T00:00:00"/>
    <x v="10"/>
    <x v="6"/>
    <n v="94"/>
    <n v="42"/>
    <n v="18"/>
    <n v="118"/>
    <x v="3"/>
    <n v="585"/>
    <n v="10530"/>
    <n v="25"/>
    <s v="SmartDistrib"/>
  </r>
  <r>
    <s v="P00219"/>
    <d v="2025-11-06T00:00:00"/>
    <x v="10"/>
    <x v="8"/>
    <n v="283"/>
    <n v="64"/>
    <n v="9"/>
    <n v="338"/>
    <x v="0"/>
    <n v="313"/>
    <n v="2817"/>
    <n v="20"/>
    <s v="OfficePro"/>
  </r>
  <r>
    <s v="P00297"/>
    <d v="2025-11-07T00:00:00"/>
    <x v="10"/>
    <x v="0"/>
    <n v="497"/>
    <n v="65"/>
    <n v="8"/>
    <n v="554"/>
    <x v="3"/>
    <n v="1871"/>
    <n v="14968"/>
    <n v="12"/>
    <s v="TechSupply"/>
  </r>
  <r>
    <s v="P00330"/>
    <d v="2025-11-07T00:00:00"/>
    <x v="10"/>
    <x v="5"/>
    <n v="231"/>
    <n v="53"/>
    <n v="44"/>
    <n v="240"/>
    <x v="3"/>
    <n v="321"/>
    <n v="14124"/>
    <n v="30"/>
    <s v="TechSupply"/>
  </r>
  <r>
    <s v="P00465"/>
    <d v="2025-11-08T00:00:00"/>
    <x v="10"/>
    <x v="6"/>
    <n v="68"/>
    <n v="39"/>
    <n v="42"/>
    <n v="65"/>
    <x v="1"/>
    <n v="299"/>
    <n v="12558"/>
    <n v="25"/>
    <s v="Atlas Electronics"/>
  </r>
  <r>
    <s v="P00242"/>
    <d v="2025-11-08T00:00:00"/>
    <x v="10"/>
    <x v="4"/>
    <n v="310"/>
    <n v="54"/>
    <n v="7"/>
    <n v="357"/>
    <x v="4"/>
    <n v="113"/>
    <n v="791"/>
    <n v="35"/>
    <s v="SmartDistrib"/>
  </r>
  <r>
    <s v="P00073"/>
    <d v="2025-11-09T00:00:00"/>
    <x v="10"/>
    <x v="5"/>
    <n v="475"/>
    <n v="98"/>
    <n v="4"/>
    <n v="569"/>
    <x v="0"/>
    <n v="313"/>
    <n v="1252"/>
    <n v="30"/>
    <s v="TechSupply"/>
  </r>
  <r>
    <s v="P00266"/>
    <d v="2025-11-10T00:00:00"/>
    <x v="10"/>
    <x v="9"/>
    <n v="186"/>
    <n v="88"/>
    <n v="58"/>
    <n v="216"/>
    <x v="4"/>
    <n v="1905"/>
    <n v="110490"/>
    <n v="10"/>
    <s v="TechSupply"/>
  </r>
  <r>
    <s v="P00305"/>
    <d v="2025-11-10T00:00:00"/>
    <x v="10"/>
    <x v="4"/>
    <n v="281"/>
    <n v="94"/>
    <n v="46"/>
    <n v="329"/>
    <x v="4"/>
    <n v="55"/>
    <n v="2530"/>
    <n v="35"/>
    <s v="TechSupply"/>
  </r>
  <r>
    <s v="P00077"/>
    <d v="2025-11-10T00:00:00"/>
    <x v="10"/>
    <x v="5"/>
    <n v="457"/>
    <n v="92"/>
    <n v="57"/>
    <n v="492"/>
    <x v="0"/>
    <n v="338"/>
    <n v="19266"/>
    <n v="30"/>
    <s v="SmartDistrib"/>
  </r>
  <r>
    <s v="P00419"/>
    <d v="2025-11-11T00:00:00"/>
    <x v="10"/>
    <x v="1"/>
    <n v="342"/>
    <n v="10"/>
    <n v="43"/>
    <n v="309"/>
    <x v="2"/>
    <n v="974"/>
    <n v="41882"/>
    <n v="8"/>
    <s v="BureauPlus"/>
  </r>
  <r>
    <s v="P00259"/>
    <d v="2025-11-11T00:00:00"/>
    <x v="10"/>
    <x v="8"/>
    <n v="262"/>
    <n v="35"/>
    <n v="40"/>
    <n v="257"/>
    <x v="1"/>
    <n v="308"/>
    <n v="12320"/>
    <n v="20"/>
    <s v="BureauPlus"/>
  </r>
  <r>
    <s v="P00241"/>
    <d v="2025-11-12T00:00:00"/>
    <x v="10"/>
    <x v="5"/>
    <n v="42"/>
    <n v="10"/>
    <n v="1"/>
    <n v="51"/>
    <x v="4"/>
    <n v="211"/>
    <n v="211"/>
    <n v="30"/>
    <s v="TechSupply"/>
  </r>
  <r>
    <s v="P00118"/>
    <d v="2025-11-14T00:00:00"/>
    <x v="10"/>
    <x v="6"/>
    <n v="70"/>
    <n v="78"/>
    <n v="47"/>
    <n v="101"/>
    <x v="4"/>
    <n v="221"/>
    <n v="10387"/>
    <n v="25"/>
    <s v="Atlas Electronics"/>
  </r>
  <r>
    <s v="P00185"/>
    <d v="2025-11-16T00:00:00"/>
    <x v="10"/>
    <x v="1"/>
    <n v="364"/>
    <n v="74"/>
    <n v="35"/>
    <n v="403"/>
    <x v="2"/>
    <n v="2158"/>
    <n v="75530"/>
    <n v="8"/>
    <s v="SmartDistrib"/>
  </r>
  <r>
    <s v="P00278"/>
    <d v="2025-11-17T00:00:00"/>
    <x v="10"/>
    <x v="0"/>
    <n v="195"/>
    <n v="78"/>
    <n v="34"/>
    <n v="239"/>
    <x v="3"/>
    <n v="1391"/>
    <n v="47294"/>
    <n v="12"/>
    <s v="SmartDistrib"/>
  </r>
  <r>
    <s v="P00451"/>
    <d v="2025-11-18T00:00:00"/>
    <x v="10"/>
    <x v="9"/>
    <n v="423"/>
    <n v="19"/>
    <n v="58"/>
    <n v="384"/>
    <x v="3"/>
    <n v="1743"/>
    <n v="101094"/>
    <n v="10"/>
    <s v="BureauPlus"/>
  </r>
  <r>
    <s v="P00469"/>
    <d v="2025-11-18T00:00:00"/>
    <x v="10"/>
    <x v="6"/>
    <n v="79"/>
    <n v="63"/>
    <n v="29"/>
    <n v="113"/>
    <x v="2"/>
    <n v="643"/>
    <n v="18647"/>
    <n v="25"/>
    <s v="Atlas Electronics"/>
  </r>
  <r>
    <s v="P00250"/>
    <d v="2025-11-20T00:00:00"/>
    <x v="10"/>
    <x v="5"/>
    <n v="133"/>
    <n v="17"/>
    <n v="4"/>
    <n v="146"/>
    <x v="1"/>
    <n v="314"/>
    <n v="1256"/>
    <n v="30"/>
    <s v="SmartDistrib"/>
  </r>
  <r>
    <s v="P00211"/>
    <d v="2025-11-21T00:00:00"/>
    <x v="10"/>
    <x v="4"/>
    <n v="98"/>
    <n v="67"/>
    <n v="32"/>
    <n v="133"/>
    <x v="2"/>
    <n v="89"/>
    <n v="2848"/>
    <n v="35"/>
    <s v="SmartDistrib"/>
  </r>
  <r>
    <s v="P00461"/>
    <d v="2025-11-24T00:00:00"/>
    <x v="10"/>
    <x v="3"/>
    <n v="314"/>
    <n v="68"/>
    <n v="39"/>
    <n v="343"/>
    <x v="2"/>
    <n v="2425"/>
    <n v="94575"/>
    <n v="15"/>
    <s v="Atlas Electronics"/>
  </r>
  <r>
    <s v="P00367"/>
    <d v="2025-11-25T00:00:00"/>
    <x v="10"/>
    <x v="4"/>
    <n v="70"/>
    <n v="67"/>
    <n v="2"/>
    <n v="135"/>
    <x v="1"/>
    <n v="59"/>
    <n v="118"/>
    <n v="35"/>
    <s v="TechSupply"/>
  </r>
  <r>
    <s v="P00214"/>
    <d v="2025-11-26T00:00:00"/>
    <x v="10"/>
    <x v="6"/>
    <n v="365"/>
    <n v="79"/>
    <n v="20"/>
    <n v="424"/>
    <x v="4"/>
    <n v="443"/>
    <n v="8860"/>
    <n v="25"/>
    <s v="SmartDistrib"/>
  </r>
  <r>
    <s v="P00105"/>
    <d v="2025-11-27T00:00:00"/>
    <x v="10"/>
    <x v="5"/>
    <n v="404"/>
    <n v="62"/>
    <n v="28"/>
    <n v="438"/>
    <x v="1"/>
    <n v="88"/>
    <n v="2464"/>
    <n v="30"/>
    <s v="SmartDistrib"/>
  </r>
  <r>
    <s v="P00317"/>
    <d v="2025-11-27T00:00:00"/>
    <x v="10"/>
    <x v="1"/>
    <n v="70"/>
    <n v="98"/>
    <n v="5"/>
    <n v="163"/>
    <x v="3"/>
    <n v="2035"/>
    <n v="10175"/>
    <n v="8"/>
    <s v="BureauPlus"/>
  </r>
  <r>
    <s v="P00405"/>
    <d v="2025-11-27T00:00:00"/>
    <x v="10"/>
    <x v="6"/>
    <n v="386"/>
    <n v="82"/>
    <n v="25"/>
    <n v="443"/>
    <x v="0"/>
    <n v="459"/>
    <n v="11475"/>
    <n v="25"/>
    <s v="Atlas Electronics"/>
  </r>
  <r>
    <s v="P00137"/>
    <d v="2025-11-28T00:00:00"/>
    <x v="10"/>
    <x v="3"/>
    <n v="466"/>
    <n v="19"/>
    <n v="31"/>
    <n v="454"/>
    <x v="3"/>
    <n v="2995"/>
    <n v="92845"/>
    <n v="15"/>
    <s v="SmartDistrib"/>
  </r>
  <r>
    <s v="P00355"/>
    <d v="2025-11-28T00:00:00"/>
    <x v="10"/>
    <x v="8"/>
    <n v="80"/>
    <n v="57"/>
    <n v="54"/>
    <n v="83"/>
    <x v="1"/>
    <n v="629"/>
    <n v="33966"/>
    <n v="20"/>
    <s v="OfficePro"/>
  </r>
  <r>
    <s v="P00169"/>
    <d v="2025-11-29T00:00:00"/>
    <x v="10"/>
    <x v="1"/>
    <n v="249"/>
    <n v="14"/>
    <n v="8"/>
    <n v="255"/>
    <x v="1"/>
    <n v="792"/>
    <n v="6336"/>
    <n v="8"/>
    <s v="SmartDistrib"/>
  </r>
  <r>
    <s v="P00396"/>
    <d v="2025-11-30T00:00:00"/>
    <x v="10"/>
    <x v="2"/>
    <n v="344"/>
    <n v="17"/>
    <n v="19"/>
    <n v="342"/>
    <x v="3"/>
    <n v="1256"/>
    <n v="23864"/>
    <n v="12"/>
    <s v="OfficePro"/>
  </r>
  <r>
    <s v="P00035"/>
    <d v="2025-11-30T00:00:00"/>
    <x v="10"/>
    <x v="7"/>
    <n v="316"/>
    <n v="1"/>
    <n v="5"/>
    <n v="312"/>
    <x v="4"/>
    <n v="4468"/>
    <n v="22340"/>
    <n v="8"/>
    <s v="Atlas Electronics"/>
  </r>
  <r>
    <s v="P00316"/>
    <d v="2025-12-01T00:00:00"/>
    <x v="11"/>
    <x v="2"/>
    <n v="490"/>
    <n v="60"/>
    <n v="30"/>
    <n v="520"/>
    <x v="2"/>
    <n v="1008"/>
    <n v="30240"/>
    <n v="12"/>
    <s v="BureauPlus"/>
  </r>
  <r>
    <s v="P00365"/>
    <d v="2025-12-02T00:00:00"/>
    <x v="11"/>
    <x v="4"/>
    <n v="390"/>
    <n v="43"/>
    <n v="16"/>
    <n v="417"/>
    <x v="0"/>
    <n v="165"/>
    <n v="2640"/>
    <n v="35"/>
    <s v="SmartDistrib"/>
  </r>
  <r>
    <s v="P00172"/>
    <d v="2025-12-02T00:00:00"/>
    <x v="11"/>
    <x v="2"/>
    <n v="90"/>
    <n v="62"/>
    <n v="39"/>
    <n v="113"/>
    <x v="2"/>
    <n v="1435"/>
    <n v="55965"/>
    <n v="12"/>
    <s v="OfficePro"/>
  </r>
  <r>
    <s v="P00043"/>
    <d v="2025-12-03T00:00:00"/>
    <x v="11"/>
    <x v="2"/>
    <n v="338"/>
    <n v="72"/>
    <n v="33"/>
    <n v="377"/>
    <x v="2"/>
    <n v="1247"/>
    <n v="41151"/>
    <n v="12"/>
    <s v="OfficePro"/>
  </r>
  <r>
    <s v="P00480"/>
    <d v="2025-12-03T00:00:00"/>
    <x v="11"/>
    <x v="7"/>
    <n v="232"/>
    <n v="94"/>
    <n v="46"/>
    <n v="280"/>
    <x v="1"/>
    <n v="4759"/>
    <n v="218914"/>
    <n v="8"/>
    <s v="TechSupply"/>
  </r>
  <r>
    <s v="P00193"/>
    <d v="2025-12-03T00:00:00"/>
    <x v="11"/>
    <x v="0"/>
    <n v="286"/>
    <n v="28"/>
    <n v="54"/>
    <n v="260"/>
    <x v="2"/>
    <n v="1421"/>
    <n v="76734"/>
    <n v="12"/>
    <s v="TechSupply"/>
  </r>
  <r>
    <s v="P00195"/>
    <d v="2025-12-03T00:00:00"/>
    <x v="11"/>
    <x v="6"/>
    <n v="464"/>
    <n v="88"/>
    <n v="17"/>
    <n v="535"/>
    <x v="4"/>
    <n v="149"/>
    <n v="2533"/>
    <n v="25"/>
    <s v="SmartDistrib"/>
  </r>
  <r>
    <s v="P00119"/>
    <d v="2025-12-05T00:00:00"/>
    <x v="11"/>
    <x v="1"/>
    <n v="81"/>
    <n v="20"/>
    <n v="15"/>
    <n v="86"/>
    <x v="3"/>
    <n v="1055"/>
    <n v="15825"/>
    <n v="8"/>
    <s v="BureauPlus"/>
  </r>
  <r>
    <s v="P00038"/>
    <d v="2025-12-05T00:00:00"/>
    <x v="11"/>
    <x v="4"/>
    <n v="407"/>
    <n v="62"/>
    <n v="9"/>
    <n v="460"/>
    <x v="2"/>
    <n v="88"/>
    <n v="792"/>
    <n v="35"/>
    <s v="TechSupply"/>
  </r>
  <r>
    <s v="P00484"/>
    <d v="2025-12-06T00:00:00"/>
    <x v="11"/>
    <x v="2"/>
    <n v="106"/>
    <n v="30"/>
    <n v="18"/>
    <n v="118"/>
    <x v="2"/>
    <n v="1134"/>
    <n v="20412"/>
    <n v="12"/>
    <s v="BureauPlus"/>
  </r>
  <r>
    <s v="P00246"/>
    <d v="2025-12-07T00:00:00"/>
    <x v="11"/>
    <x v="0"/>
    <n v="382"/>
    <n v="10"/>
    <n v="33"/>
    <n v="359"/>
    <x v="1"/>
    <n v="1938"/>
    <n v="63954"/>
    <n v="12"/>
    <s v="SmartDistrib"/>
  </r>
  <r>
    <s v="P00268"/>
    <d v="2025-12-08T00:00:00"/>
    <x v="11"/>
    <x v="8"/>
    <n v="217"/>
    <n v="90"/>
    <n v="4"/>
    <n v="303"/>
    <x v="3"/>
    <n v="813"/>
    <n v="3252"/>
    <n v="20"/>
    <s v="BureauPlus"/>
  </r>
  <r>
    <s v="P00171"/>
    <d v="2025-12-10T00:00:00"/>
    <x v="11"/>
    <x v="8"/>
    <n v="420"/>
    <n v="89"/>
    <n v="60"/>
    <n v="449"/>
    <x v="0"/>
    <n v="803"/>
    <n v="48180"/>
    <n v="20"/>
    <s v="OfficePro"/>
  </r>
  <r>
    <s v="P00226"/>
    <d v="2025-12-10T00:00:00"/>
    <x v="11"/>
    <x v="0"/>
    <n v="399"/>
    <n v="94"/>
    <n v="43"/>
    <n v="450"/>
    <x v="1"/>
    <n v="2278"/>
    <n v="97954"/>
    <n v="12"/>
    <s v="TechSupply"/>
  </r>
  <r>
    <s v="P00261"/>
    <d v="2025-12-14T00:00:00"/>
    <x v="11"/>
    <x v="6"/>
    <n v="440"/>
    <n v="56"/>
    <n v="2"/>
    <n v="494"/>
    <x v="1"/>
    <n v="249"/>
    <n v="498"/>
    <n v="25"/>
    <s v="Atlas Electronics"/>
  </r>
  <r>
    <s v="P00434"/>
    <d v="2025-12-14T00:00:00"/>
    <x v="11"/>
    <x v="4"/>
    <n v="457"/>
    <n v="12"/>
    <n v="8"/>
    <n v="461"/>
    <x v="1"/>
    <n v="145"/>
    <n v="1160"/>
    <n v="35"/>
    <s v="SmartDistrib"/>
  </r>
  <r>
    <s v="P00294"/>
    <d v="2025-12-15T00:00:00"/>
    <x v="11"/>
    <x v="6"/>
    <n v="352"/>
    <n v="15"/>
    <n v="8"/>
    <n v="359"/>
    <x v="0"/>
    <n v="219"/>
    <n v="1752"/>
    <n v="25"/>
    <s v="SmartDistrib"/>
  </r>
  <r>
    <s v="P00303"/>
    <d v="2025-12-15T00:00:00"/>
    <x v="11"/>
    <x v="0"/>
    <n v="164"/>
    <n v="4"/>
    <n v="36"/>
    <n v="132"/>
    <x v="1"/>
    <n v="2634"/>
    <n v="94824"/>
    <n v="12"/>
    <s v="SmartDistrib"/>
  </r>
  <r>
    <s v="P00331"/>
    <d v="2025-12-15T00:00:00"/>
    <x v="11"/>
    <x v="9"/>
    <n v="426"/>
    <n v="76"/>
    <n v="55"/>
    <n v="447"/>
    <x v="3"/>
    <n v="1067"/>
    <n v="58685"/>
    <n v="10"/>
    <s v="BureauPlus"/>
  </r>
  <r>
    <s v="P00055"/>
    <d v="2025-12-16T00:00:00"/>
    <x v="11"/>
    <x v="9"/>
    <n v="167"/>
    <n v="85"/>
    <n v="6"/>
    <n v="246"/>
    <x v="3"/>
    <n v="1624"/>
    <n v="9744"/>
    <n v="10"/>
    <s v="BureauPlus"/>
  </r>
  <r>
    <s v="P00441"/>
    <d v="2025-12-16T00:00:00"/>
    <x v="11"/>
    <x v="8"/>
    <n v="430"/>
    <n v="6"/>
    <n v="2"/>
    <n v="434"/>
    <x v="0"/>
    <n v="351"/>
    <n v="702"/>
    <n v="20"/>
    <s v="OfficePro"/>
  </r>
  <r>
    <s v="P00018"/>
    <d v="2025-12-16T00:00:00"/>
    <x v="11"/>
    <x v="3"/>
    <n v="493"/>
    <n v="68"/>
    <n v="48"/>
    <n v="513"/>
    <x v="2"/>
    <n v="2892"/>
    <n v="138816"/>
    <n v="15"/>
    <s v="Atlas Electronics"/>
  </r>
  <r>
    <s v="P00159"/>
    <d v="2025-12-18T00:00:00"/>
    <x v="11"/>
    <x v="6"/>
    <n v="438"/>
    <n v="95"/>
    <n v="3"/>
    <n v="530"/>
    <x v="2"/>
    <n v="628"/>
    <n v="1884"/>
    <n v="25"/>
    <s v="Atlas Electronics"/>
  </r>
  <r>
    <s v="P00431"/>
    <d v="2025-12-19T00:00:00"/>
    <x v="11"/>
    <x v="6"/>
    <n v="219"/>
    <n v="90"/>
    <n v="39"/>
    <n v="270"/>
    <x v="4"/>
    <n v="558"/>
    <n v="21762"/>
    <n v="25"/>
    <s v="Atlas Electronics"/>
  </r>
  <r>
    <s v="P00309"/>
    <d v="2025-12-20T00:00:00"/>
    <x v="11"/>
    <x v="9"/>
    <n v="400"/>
    <n v="62"/>
    <n v="20"/>
    <n v="442"/>
    <x v="2"/>
    <n v="1882"/>
    <n v="37640"/>
    <n v="10"/>
    <s v="BureauPlus"/>
  </r>
  <r>
    <s v="P00327"/>
    <d v="2025-12-21T00:00:00"/>
    <x v="11"/>
    <x v="8"/>
    <n v="160"/>
    <n v="7"/>
    <n v="42"/>
    <n v="125"/>
    <x v="0"/>
    <n v="371"/>
    <n v="15582"/>
    <n v="20"/>
    <s v="BureauPlus"/>
  </r>
  <r>
    <s v="P00081"/>
    <d v="2025-12-22T00:00:00"/>
    <x v="11"/>
    <x v="2"/>
    <n v="118"/>
    <n v="90"/>
    <n v="13"/>
    <n v="195"/>
    <x v="0"/>
    <n v="731"/>
    <n v="9503"/>
    <n v="12"/>
    <s v="BureauPlus"/>
  </r>
  <r>
    <s v="P00131"/>
    <d v="2025-12-22T00:00:00"/>
    <x v="11"/>
    <x v="2"/>
    <n v="293"/>
    <n v="36"/>
    <n v="42"/>
    <n v="287"/>
    <x v="3"/>
    <n v="1420"/>
    <n v="59640"/>
    <n v="12"/>
    <s v="OfficePro"/>
  </r>
  <r>
    <s v="P00422"/>
    <d v="2025-12-22T00:00:00"/>
    <x v="11"/>
    <x v="4"/>
    <n v="370"/>
    <n v="22"/>
    <n v="35"/>
    <n v="357"/>
    <x v="0"/>
    <n v="82"/>
    <n v="2870"/>
    <n v="35"/>
    <s v="SmartDistrib"/>
  </r>
  <r>
    <s v="P00359"/>
    <d v="2025-12-23T00:00:00"/>
    <x v="11"/>
    <x v="9"/>
    <n v="349"/>
    <n v="90"/>
    <n v="13"/>
    <n v="426"/>
    <x v="4"/>
    <n v="1712"/>
    <n v="22256"/>
    <n v="10"/>
    <s v="BureauPlus"/>
  </r>
  <r>
    <s v="P00083"/>
    <d v="2025-12-23T00:00:00"/>
    <x v="11"/>
    <x v="6"/>
    <n v="50"/>
    <n v="97"/>
    <n v="36"/>
    <n v="111"/>
    <x v="0"/>
    <n v="509"/>
    <n v="18324"/>
    <n v="25"/>
    <s v="Atlas Electronics"/>
  </r>
  <r>
    <s v="P00447"/>
    <d v="2025-12-23T00:00:00"/>
    <x v="11"/>
    <x v="7"/>
    <n v="215"/>
    <n v="15"/>
    <n v="55"/>
    <n v="175"/>
    <x v="4"/>
    <n v="5229"/>
    <n v="287595"/>
    <n v="8"/>
    <s v="Atlas Electronics"/>
  </r>
  <r>
    <s v="P00143"/>
    <d v="2025-12-24T00:00:00"/>
    <x v="11"/>
    <x v="9"/>
    <n v="162"/>
    <n v="73"/>
    <n v="24"/>
    <n v="211"/>
    <x v="0"/>
    <n v="1378"/>
    <n v="33072"/>
    <n v="10"/>
    <s v="TechSupply"/>
  </r>
  <r>
    <s v="P00338"/>
    <d v="2025-12-25T00:00:00"/>
    <x v="11"/>
    <x v="8"/>
    <n v="72"/>
    <n v="69"/>
    <n v="3"/>
    <n v="138"/>
    <x v="0"/>
    <n v="320"/>
    <n v="960"/>
    <n v="20"/>
    <s v="OfficePro"/>
  </r>
  <r>
    <s v="P00435"/>
    <d v="2025-12-26T00:00:00"/>
    <x v="11"/>
    <x v="0"/>
    <n v="483"/>
    <n v="16"/>
    <n v="15"/>
    <n v="484"/>
    <x v="2"/>
    <n v="1499"/>
    <n v="22485"/>
    <n v="12"/>
    <s v="SmartDistrib"/>
  </r>
  <r>
    <s v="P00466"/>
    <d v="2025-12-26T00:00:00"/>
    <x v="11"/>
    <x v="0"/>
    <n v="45"/>
    <n v="20"/>
    <n v="31"/>
    <n v="34"/>
    <x v="3"/>
    <n v="1910"/>
    <n v="59210"/>
    <n v="12"/>
    <s v="TechSupply"/>
  </r>
  <r>
    <s v="P00058"/>
    <d v="2025-12-26T00:00:00"/>
    <x v="11"/>
    <x v="0"/>
    <n v="95"/>
    <n v="48"/>
    <n v="55"/>
    <n v="88"/>
    <x v="0"/>
    <n v="1279"/>
    <n v="70345"/>
    <n v="12"/>
    <s v="SmartDistrib"/>
  </r>
  <r>
    <s v="P00332"/>
    <d v="2025-12-27T00:00:00"/>
    <x v="11"/>
    <x v="4"/>
    <n v="225"/>
    <n v="9"/>
    <n v="58"/>
    <n v="176"/>
    <x v="1"/>
    <n v="184"/>
    <n v="10672"/>
    <n v="35"/>
    <s v="TechSupp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B98DC2-400C-41D9-8F33-161338E850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B27" firstHeaderRow="1" firstDataRow="1" firstDataCol="1"/>
  <pivotFields count="13">
    <pivotField showAll="0"/>
    <pivotField numFmtId="164" showAll="0"/>
    <pivotField showAll="0">
      <items count="13">
        <item h="1" x="9"/>
        <item h="1" x="10"/>
        <item h="1" x="11"/>
        <item h="1" x="2"/>
        <item h="1" x="3"/>
        <item h="1" x="7"/>
        <item h="1" x="1"/>
        <item h="1" x="0"/>
        <item x="6"/>
        <item h="1" x="5"/>
        <item h="1" x="4"/>
        <item h="1" x="8"/>
        <item t="default"/>
      </items>
    </pivotField>
    <pivotField axis="axisRow" showAll="0">
      <items count="11">
        <item x="8"/>
        <item x="2"/>
        <item x="6"/>
        <item x="5"/>
        <item x="7"/>
        <item x="9"/>
        <item x="4"/>
        <item x="3"/>
        <item x="1"/>
        <item x="0"/>
        <item t="default"/>
      </items>
    </pivotField>
    <pivotField showAll="0"/>
    <pivotField showAll="0"/>
    <pivotField showAll="0"/>
    <pivotField showAll="0"/>
    <pivotField showAll="0"/>
    <pivotField showAll="0"/>
    <pivotField dataField="1"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Sum of Total Sales (MAD)" fld="10"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3542F8-7708-4EE8-B70A-95C65CD6B9D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2:D23" firstHeaderRow="1" firstDataRow="1" firstDataCol="0"/>
  <pivotFields count="13">
    <pivotField showAll="0"/>
    <pivotField numFmtId="164" showAll="0"/>
    <pivotField showAll="0">
      <items count="13">
        <item h="1" x="9"/>
        <item h="1" x="10"/>
        <item h="1" x="11"/>
        <item h="1" x="2"/>
        <item h="1" x="3"/>
        <item h="1" x="7"/>
        <item h="1" x="1"/>
        <item h="1" x="0"/>
        <item x="6"/>
        <item h="1" x="5"/>
        <item h="1" x="4"/>
        <item h="1" x="8"/>
        <item t="default"/>
      </items>
    </pivotField>
    <pivotField showAll="0">
      <items count="11">
        <item x="8"/>
        <item x="2"/>
        <item x="6"/>
        <item x="5"/>
        <item x="7"/>
        <item x="9"/>
        <item x="4"/>
        <item x="3"/>
        <item x="1"/>
        <item x="0"/>
        <item t="default"/>
      </items>
    </pivotField>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Stock Ou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3E7D6D-5DBF-44D8-8019-F0EFE70AECC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9:D20" firstHeaderRow="1" firstDataRow="1" firstDataCol="0"/>
  <pivotFields count="13">
    <pivotField showAll="0"/>
    <pivotField numFmtId="164" showAll="0"/>
    <pivotField showAll="0">
      <items count="13">
        <item h="1" x="9"/>
        <item h="1" x="10"/>
        <item h="1" x="11"/>
        <item h="1" x="2"/>
        <item h="1" x="3"/>
        <item h="1" x="7"/>
        <item h="1" x="1"/>
        <item h="1" x="0"/>
        <item x="6"/>
        <item h="1" x="5"/>
        <item h="1" x="4"/>
        <item h="1" x="8"/>
        <item t="default"/>
      </items>
    </pivotField>
    <pivotField showAll="0">
      <items count="11">
        <item x="8"/>
        <item x="2"/>
        <item x="6"/>
        <item x="5"/>
        <item x="7"/>
        <item x="9"/>
        <item x="4"/>
        <item x="3"/>
        <item x="1"/>
        <item x="0"/>
        <item t="default"/>
      </items>
    </pivotField>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Stock In"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1926D7-F382-425C-9A68-087745EB2D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3">
    <pivotField showAll="0"/>
    <pivotField numFmtId="164" showAll="0"/>
    <pivotField showAll="0">
      <items count="13">
        <item h="1" x="9"/>
        <item h="1" x="10"/>
        <item h="1" x="11"/>
        <item h="1" x="2"/>
        <item h="1" x="3"/>
        <item h="1" x="7"/>
        <item h="1" x="1"/>
        <item h="1" x="0"/>
        <item x="6"/>
        <item h="1" x="5"/>
        <item h="1" x="4"/>
        <item h="1" x="8"/>
        <item t="default"/>
      </items>
    </pivotField>
    <pivotField axis="axisRow" showAll="0">
      <items count="11">
        <item x="8"/>
        <item x="2"/>
        <item x="6"/>
        <item x="5"/>
        <item x="7"/>
        <item x="9"/>
        <item x="4"/>
        <item x="3"/>
        <item x="1"/>
        <item x="0"/>
        <item t="default"/>
      </items>
    </pivotField>
    <pivotField dataField="1" showAll="0"/>
    <pivotField showAll="0"/>
    <pivotField showAll="0"/>
    <pivotField showAll="0"/>
    <pivotField showAll="0"/>
    <pivotField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Sum of Beginning Stock" fld="4"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10C464-B237-435B-8ABC-6B1725943E4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6:D17" firstHeaderRow="1" firstDataRow="1" firstDataCol="0"/>
  <pivotFields count="13">
    <pivotField showAll="0"/>
    <pivotField numFmtId="164" showAll="0"/>
    <pivotField showAll="0">
      <items count="13">
        <item h="1" x="9"/>
        <item h="1" x="10"/>
        <item h="1" x="11"/>
        <item h="1" x="2"/>
        <item h="1" x="3"/>
        <item h="1" x="7"/>
        <item h="1" x="1"/>
        <item h="1" x="0"/>
        <item x="6"/>
        <item h="1" x="5"/>
        <item h="1" x="4"/>
        <item h="1" x="8"/>
        <item t="default"/>
      </items>
    </pivotField>
    <pivotField showAll="0">
      <items count="11">
        <item x="8"/>
        <item x="2"/>
        <item x="6"/>
        <item x="5"/>
        <item x="7"/>
        <item x="9"/>
        <item x="4"/>
        <item x="3"/>
        <item x="1"/>
        <item x="0"/>
        <item t="default"/>
      </items>
    </pivotField>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Sum of Beginning Stock"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7729FC-7745-433F-A93F-A71A753712D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9" firstHeaderRow="1" firstDataRow="1" firstDataCol="1"/>
  <pivotFields count="13">
    <pivotField showAll="0"/>
    <pivotField numFmtId="164" showAll="0"/>
    <pivotField showAll="0">
      <items count="13">
        <item h="1" x="9"/>
        <item h="1" x="10"/>
        <item h="1" x="11"/>
        <item h="1" x="2"/>
        <item h="1" x="3"/>
        <item h="1" x="7"/>
        <item h="1" x="1"/>
        <item h="1" x="0"/>
        <item x="6"/>
        <item h="1" x="5"/>
        <item h="1" x="4"/>
        <item h="1" x="8"/>
        <item t="default"/>
      </items>
    </pivotField>
    <pivotField showAll="0">
      <items count="11">
        <item x="8"/>
        <item x="2"/>
        <item x="6"/>
        <item x="5"/>
        <item x="7"/>
        <item x="9"/>
        <item x="4"/>
        <item x="3"/>
        <item x="1"/>
        <item x="0"/>
        <item t="default"/>
      </items>
    </pivotField>
    <pivotField showAll="0"/>
    <pivotField showAll="0"/>
    <pivotField showAll="0"/>
    <pivotField showAll="0"/>
    <pivotField axis="axisRow" showAll="0">
      <items count="6">
        <item x="1"/>
        <item x="4"/>
        <item x="2"/>
        <item x="0"/>
        <item x="3"/>
        <item t="default"/>
      </items>
    </pivotField>
    <pivotField showAll="0"/>
    <pivotField dataField="1" showAll="0"/>
    <pivotField showAll="0"/>
    <pivotField showAll="0"/>
  </pivotFields>
  <rowFields count="1">
    <field x="8"/>
  </rowFields>
  <rowItems count="6">
    <i>
      <x/>
    </i>
    <i>
      <x v="1"/>
    </i>
    <i>
      <x v="2"/>
    </i>
    <i>
      <x v="3"/>
    </i>
    <i>
      <x v="4"/>
    </i>
    <i t="grand">
      <x/>
    </i>
  </rowItems>
  <colItems count="1">
    <i/>
  </colItems>
  <dataFields count="1">
    <dataField name="Sum of Total Sales (MAD)" fld="10" baseField="0" baseItem="0"/>
  </dataField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8" count="1" selected="0">
            <x v="0"/>
          </reference>
        </references>
      </pivotArea>
    </chartFormat>
    <chartFormat chart="7" format="9">
      <pivotArea type="data" outline="0" fieldPosition="0">
        <references count="2">
          <reference field="4294967294" count="1" selected="0">
            <x v="0"/>
          </reference>
          <reference field="8" count="1" selected="0">
            <x v="1"/>
          </reference>
        </references>
      </pivotArea>
    </chartFormat>
    <chartFormat chart="7" format="10">
      <pivotArea type="data" outline="0" fieldPosition="0">
        <references count="2">
          <reference field="4294967294" count="1" selected="0">
            <x v="0"/>
          </reference>
          <reference field="8" count="1" selected="0">
            <x v="2"/>
          </reference>
        </references>
      </pivotArea>
    </chartFormat>
    <chartFormat chart="7" format="11">
      <pivotArea type="data" outline="0" fieldPosition="0">
        <references count="2">
          <reference field="4294967294" count="1" selected="0">
            <x v="0"/>
          </reference>
          <reference field="8" count="1" selected="0">
            <x v="3"/>
          </reference>
        </references>
      </pivotArea>
    </chartFormat>
    <chartFormat chart="7"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445CD3-076C-452A-B14C-C2D541E234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9:B35" firstHeaderRow="1" firstDataRow="1" firstDataCol="1"/>
  <pivotFields count="13">
    <pivotField showAll="0"/>
    <pivotField numFmtId="164" showAll="0"/>
    <pivotField showAll="0">
      <items count="13">
        <item h="1" x="9"/>
        <item h="1" x="10"/>
        <item h="1" x="11"/>
        <item h="1" x="2"/>
        <item h="1" x="3"/>
        <item h="1" x="7"/>
        <item h="1" x="1"/>
        <item h="1" x="0"/>
        <item x="6"/>
        <item h="1" x="5"/>
        <item h="1" x="4"/>
        <item h="1" x="8"/>
        <item t="default"/>
      </items>
    </pivotField>
    <pivotField showAll="0">
      <items count="11">
        <item x="8"/>
        <item x="2"/>
        <item x="6"/>
        <item x="5"/>
        <item x="7"/>
        <item x="9"/>
        <item x="4"/>
        <item x="3"/>
        <item x="1"/>
        <item x="0"/>
        <item t="default"/>
      </items>
    </pivotField>
    <pivotField dataField="1" showAll="0"/>
    <pivotField showAll="0"/>
    <pivotField showAll="0"/>
    <pivotField showAll="0"/>
    <pivotField axis="axisRow" showAll="0">
      <items count="6">
        <item x="1"/>
        <item x="4"/>
        <item x="2"/>
        <item x="0"/>
        <item x="3"/>
        <item t="default"/>
      </items>
    </pivotField>
    <pivotField showAll="0"/>
    <pivotField showAll="0"/>
    <pivotField showAll="0"/>
    <pivotField showAll="0"/>
  </pivotFields>
  <rowFields count="1">
    <field x="8"/>
  </rowFields>
  <rowItems count="6">
    <i>
      <x/>
    </i>
    <i>
      <x v="1"/>
    </i>
    <i>
      <x v="2"/>
    </i>
    <i>
      <x v="3"/>
    </i>
    <i>
      <x v="4"/>
    </i>
    <i t="grand">
      <x/>
    </i>
  </rowItems>
  <colItems count="1">
    <i/>
  </colItems>
  <dataFields count="1">
    <dataField name="Sum of Beginning Stock" fld="4"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8" count="1" selected="0">
            <x v="0"/>
          </reference>
        </references>
      </pivotArea>
    </chartFormat>
    <chartFormat chart="5" format="9">
      <pivotArea type="data" outline="0" fieldPosition="0">
        <references count="2">
          <reference field="4294967294" count="1" selected="0">
            <x v="0"/>
          </reference>
          <reference field="8" count="1" selected="0">
            <x v="1"/>
          </reference>
        </references>
      </pivotArea>
    </chartFormat>
    <chartFormat chart="5" format="10">
      <pivotArea type="data" outline="0" fieldPosition="0">
        <references count="2">
          <reference field="4294967294" count="1" selected="0">
            <x v="0"/>
          </reference>
          <reference field="8" count="1" selected="0">
            <x v="2"/>
          </reference>
        </references>
      </pivotArea>
    </chartFormat>
    <chartFormat chart="5" format="11">
      <pivotArea type="data" outline="0" fieldPosition="0">
        <references count="2">
          <reference field="4294967294" count="1" selected="0">
            <x v="0"/>
          </reference>
          <reference field="8" count="1" selected="0">
            <x v="3"/>
          </reference>
        </references>
      </pivotArea>
    </chartFormat>
    <chartFormat chart="5"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3FD8A14-D1D8-46C4-B8AE-6EDF1665F941}" sourceName="Month">
  <pivotTables>
    <pivotTable tabId="3" name="PivotTable1"/>
    <pivotTable tabId="3" name="PivotTable2"/>
    <pivotTable tabId="3" name="PivotTable3"/>
    <pivotTable tabId="3" name="PivotTable4"/>
    <pivotTable tabId="3" name="PivotTable5"/>
    <pivotTable tabId="3" name="PivotTable7"/>
    <pivotTable tabId="3" name="PivotTable8"/>
  </pivotTables>
  <data>
    <tabular pivotCacheId="1602682467">
      <items count="12">
        <i x="9"/>
        <i x="2"/>
        <i x="10"/>
        <i x="11"/>
        <i x="3"/>
        <i x="7"/>
        <i x="1"/>
        <i x="0"/>
        <i x="6" s="1"/>
        <i x="5"/>
        <i x="4"/>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2595D76-B6EB-406A-B76C-D48B0E1334C3}" cache="Slicer_Month" caption="Month" columnCount="6"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9DCCEE-278E-48FF-BD19-094D9D142512}" name="Table1" displayName="Table1" ref="A1:M501" totalsRowShown="0" headerRowDxfId="3" headerRowBorderDxfId="2" tableBorderDxfId="1">
  <autoFilter ref="A1:M501" xr:uid="{00000000-0009-0000-0000-000000000000}"/>
  <tableColumns count="13">
    <tableColumn id="1" xr3:uid="{4F4FDEFA-6A44-46DE-99BD-750F051522DC}" name="ID"/>
    <tableColumn id="2" xr3:uid="{05642C71-1CA7-47F5-BEEA-3A89C4DDE5E3}" name="Date" dataDxfId="0"/>
    <tableColumn id="3" xr3:uid="{C10BFA49-14B0-4D72-9B3F-06B7433B146B}" name="Month"/>
    <tableColumn id="4" xr3:uid="{6D1026C6-E109-4FEC-B562-CB13EFF7B741}" name="Product"/>
    <tableColumn id="5" xr3:uid="{C2C3F438-2113-4B72-9AB9-A78622708155}" name="Beginning Stock"/>
    <tableColumn id="6" xr3:uid="{7ED508BA-77BD-44CD-9A37-8608A6C9D4EE}" name="Stock In"/>
    <tableColumn id="7" xr3:uid="{82CA5B37-A6F5-4161-AA8C-F668F3073FFD}" name="Stock Out"/>
    <tableColumn id="8" xr3:uid="{72E57BF7-11A4-445E-9C5B-C42BB6BEE652}" name="Ending Stock"/>
    <tableColumn id="9" xr3:uid="{1CBB7CC9-877F-4511-B890-0E2B05AAAB90}" name="Location"/>
    <tableColumn id="10" xr3:uid="{83F04E33-2416-48E8-B844-6AF9F3FC5BE4}" name="Unit Cost (MAD)"/>
    <tableColumn id="11" xr3:uid="{F41AA586-66CA-4D26-B80B-68ECD60EFDC1}" name="Total Sales (MAD)"/>
    <tableColumn id="12" xr3:uid="{E9173633-64C5-4BE3-B650-BD630BA4B88A}" name="Reorder Level"/>
    <tableColumn id="13" xr3:uid="{5086486E-59B1-49DB-B097-8B8C3204E557}" name="Suppli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B82A36-8E46-4C18-BAF2-C40E469579EA}">
  <we:reference id="wa200005502" version="1.0.0.13" store="fr-FR" storeType="OMEX"/>
  <we:alternateReferences>
    <we:reference id="wa200005502" version="1.0.0.13" store="" storeType="OMEX"/>
  </we:alternateReferences>
  <we:properties>
    <we:property name="docId" value="&quot;C7ZauOGq7D0OUTmlV9Di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B4AB9-5079-4C87-957B-F9A5A41A6272}">
  <dimension ref="A3:E35"/>
  <sheetViews>
    <sheetView topLeftCell="A2" zoomScale="50" workbookViewId="0">
      <selection activeCell="J22" sqref="J22"/>
    </sheetView>
  </sheetViews>
  <sheetFormatPr defaultRowHeight="14.5" x14ac:dyDescent="0.35"/>
  <cols>
    <col min="1" max="1" width="18.81640625" bestFit="1" customWidth="1"/>
    <col min="2" max="2" width="29.54296875" bestFit="1" customWidth="1"/>
    <col min="4" max="4" width="21.54296875" bestFit="1" customWidth="1"/>
    <col min="5" max="5" width="31.36328125" bestFit="1" customWidth="1"/>
  </cols>
  <sheetData>
    <row r="3" spans="1:5" x14ac:dyDescent="0.35">
      <c r="A3" s="3" t="s">
        <v>545</v>
      </c>
      <c r="B3" t="s">
        <v>547</v>
      </c>
      <c r="D3" s="3" t="s">
        <v>545</v>
      </c>
      <c r="E3" t="s">
        <v>548</v>
      </c>
    </row>
    <row r="4" spans="1:5" x14ac:dyDescent="0.35">
      <c r="A4" s="4" t="s">
        <v>53</v>
      </c>
      <c r="B4">
        <v>1159</v>
      </c>
      <c r="D4" s="4" t="s">
        <v>20</v>
      </c>
      <c r="E4">
        <v>409856</v>
      </c>
    </row>
    <row r="5" spans="1:5" x14ac:dyDescent="0.35">
      <c r="A5" s="4" t="s">
        <v>23</v>
      </c>
      <c r="B5">
        <v>1362</v>
      </c>
      <c r="D5" s="4" t="s">
        <v>42</v>
      </c>
      <c r="E5">
        <v>48604</v>
      </c>
    </row>
    <row r="6" spans="1:5" x14ac:dyDescent="0.35">
      <c r="A6" s="4" t="s">
        <v>40</v>
      </c>
      <c r="B6">
        <v>225</v>
      </c>
      <c r="D6" s="4" t="s">
        <v>30</v>
      </c>
      <c r="E6">
        <v>841789</v>
      </c>
    </row>
    <row r="7" spans="1:5" x14ac:dyDescent="0.35">
      <c r="A7" s="4" t="s">
        <v>38</v>
      </c>
      <c r="B7">
        <v>815</v>
      </c>
      <c r="D7" s="4" t="s">
        <v>16</v>
      </c>
      <c r="E7">
        <v>492961</v>
      </c>
    </row>
    <row r="8" spans="1:5" x14ac:dyDescent="0.35">
      <c r="A8" s="4" t="s">
        <v>45</v>
      </c>
      <c r="B8">
        <v>1214</v>
      </c>
      <c r="D8" s="4" t="s">
        <v>33</v>
      </c>
      <c r="E8">
        <v>503456</v>
      </c>
    </row>
    <row r="9" spans="1:5" x14ac:dyDescent="0.35">
      <c r="A9" s="4" t="s">
        <v>55</v>
      </c>
      <c r="B9">
        <v>1508</v>
      </c>
      <c r="D9" s="4" t="s">
        <v>546</v>
      </c>
      <c r="E9">
        <v>2296666</v>
      </c>
    </row>
    <row r="10" spans="1:5" x14ac:dyDescent="0.35">
      <c r="A10" s="4" t="s">
        <v>29</v>
      </c>
      <c r="B10">
        <v>2137</v>
      </c>
    </row>
    <row r="11" spans="1:5" x14ac:dyDescent="0.35">
      <c r="A11" s="4" t="s">
        <v>26</v>
      </c>
      <c r="B11">
        <v>1221</v>
      </c>
    </row>
    <row r="12" spans="1:5" x14ac:dyDescent="0.35">
      <c r="A12" s="4" t="s">
        <v>19</v>
      </c>
      <c r="B12">
        <v>1871</v>
      </c>
    </row>
    <row r="13" spans="1:5" x14ac:dyDescent="0.35">
      <c r="A13" s="4" t="s">
        <v>15</v>
      </c>
      <c r="B13">
        <v>1684</v>
      </c>
    </row>
    <row r="14" spans="1:5" x14ac:dyDescent="0.35">
      <c r="A14" s="4" t="s">
        <v>546</v>
      </c>
      <c r="B14">
        <v>13196</v>
      </c>
    </row>
    <row r="16" spans="1:5" x14ac:dyDescent="0.35">
      <c r="A16" s="3" t="s">
        <v>545</v>
      </c>
      <c r="B16" t="s">
        <v>548</v>
      </c>
      <c r="D16" t="s">
        <v>547</v>
      </c>
    </row>
    <row r="17" spans="1:5" x14ac:dyDescent="0.35">
      <c r="A17" s="4" t="s">
        <v>53</v>
      </c>
      <c r="B17">
        <v>58020</v>
      </c>
      <c r="D17">
        <v>13196</v>
      </c>
    </row>
    <row r="18" spans="1:5" x14ac:dyDescent="0.35">
      <c r="A18" s="4" t="s">
        <v>23</v>
      </c>
      <c r="B18">
        <v>173484</v>
      </c>
    </row>
    <row r="19" spans="1:5" x14ac:dyDescent="0.35">
      <c r="A19" s="4" t="s">
        <v>40</v>
      </c>
      <c r="B19">
        <v>5128</v>
      </c>
      <c r="D19" t="s">
        <v>549</v>
      </c>
    </row>
    <row r="20" spans="1:5" x14ac:dyDescent="0.35">
      <c r="A20" s="4" t="s">
        <v>38</v>
      </c>
      <c r="B20">
        <v>33384</v>
      </c>
      <c r="D20">
        <v>3180</v>
      </c>
    </row>
    <row r="21" spans="1:5" x14ac:dyDescent="0.35">
      <c r="A21" s="4" t="s">
        <v>45</v>
      </c>
      <c r="B21">
        <v>621705</v>
      </c>
    </row>
    <row r="22" spans="1:5" x14ac:dyDescent="0.35">
      <c r="A22" s="4" t="s">
        <v>55</v>
      </c>
      <c r="B22">
        <v>201445</v>
      </c>
      <c r="D22" t="s">
        <v>550</v>
      </c>
    </row>
    <row r="23" spans="1:5" x14ac:dyDescent="0.35">
      <c r="A23" s="4" t="s">
        <v>29</v>
      </c>
      <c r="B23">
        <v>25408</v>
      </c>
      <c r="D23">
        <v>1388</v>
      </c>
    </row>
    <row r="24" spans="1:5" x14ac:dyDescent="0.35">
      <c r="A24" s="4" t="s">
        <v>26</v>
      </c>
      <c r="B24">
        <v>311783</v>
      </c>
    </row>
    <row r="25" spans="1:5" x14ac:dyDescent="0.35">
      <c r="A25" s="4" t="s">
        <v>19</v>
      </c>
      <c r="B25">
        <v>312505</v>
      </c>
    </row>
    <row r="26" spans="1:5" x14ac:dyDescent="0.35">
      <c r="A26" s="4" t="s">
        <v>15</v>
      </c>
      <c r="B26">
        <v>553804</v>
      </c>
      <c r="D26" s="5" t="s">
        <v>551</v>
      </c>
      <c r="E26" s="5" t="s">
        <v>552</v>
      </c>
    </row>
    <row r="27" spans="1:5" x14ac:dyDescent="0.35">
      <c r="A27" s="4" t="s">
        <v>546</v>
      </c>
      <c r="B27">
        <v>2296666</v>
      </c>
      <c r="D27" t="s">
        <v>553</v>
      </c>
      <c r="E27" s="6">
        <f>GETPIVOTDATA("Beginning Stock",$D$16)</f>
        <v>13196</v>
      </c>
    </row>
    <row r="28" spans="1:5" x14ac:dyDescent="0.35">
      <c r="D28" t="s">
        <v>554</v>
      </c>
      <c r="E28" s="6">
        <f>GETPIVOTDATA("Stock In",$D$19)</f>
        <v>3180</v>
      </c>
    </row>
    <row r="29" spans="1:5" x14ac:dyDescent="0.35">
      <c r="A29" s="3" t="s">
        <v>545</v>
      </c>
      <c r="B29" t="s">
        <v>547</v>
      </c>
      <c r="D29" t="s">
        <v>555</v>
      </c>
      <c r="E29" s="6">
        <f>GETPIVOTDATA("Stock Out",$D$22)</f>
        <v>1388</v>
      </c>
    </row>
    <row r="30" spans="1:5" x14ac:dyDescent="0.35">
      <c r="A30" s="4" t="s">
        <v>20</v>
      </c>
      <c r="B30">
        <v>2834</v>
      </c>
    </row>
    <row r="31" spans="1:5" x14ac:dyDescent="0.35">
      <c r="A31" s="4" t="s">
        <v>42</v>
      </c>
      <c r="B31">
        <v>1513</v>
      </c>
    </row>
    <row r="32" spans="1:5" x14ac:dyDescent="0.35">
      <c r="A32" s="4" t="s">
        <v>30</v>
      </c>
      <c r="B32">
        <v>2869</v>
      </c>
    </row>
    <row r="33" spans="1:2" x14ac:dyDescent="0.35">
      <c r="A33" s="4" t="s">
        <v>16</v>
      </c>
      <c r="B33">
        <v>3013</v>
      </c>
    </row>
    <row r="34" spans="1:2" x14ac:dyDescent="0.35">
      <c r="A34" s="4" t="s">
        <v>33</v>
      </c>
      <c r="B34">
        <v>2967</v>
      </c>
    </row>
    <row r="35" spans="1:2" x14ac:dyDescent="0.35">
      <c r="A35" s="4" t="s">
        <v>546</v>
      </c>
      <c r="B35">
        <v>13196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CC0C8-0697-47C8-B19C-A207F5837F5B}">
  <dimension ref="B1:H1"/>
  <sheetViews>
    <sheetView showGridLines="0" tabSelected="1" zoomScale="57" zoomScaleNormal="82" workbookViewId="0">
      <selection activeCell="K17" sqref="K17"/>
    </sheetView>
  </sheetViews>
  <sheetFormatPr defaultRowHeight="14.5" x14ac:dyDescent="0.35"/>
  <cols>
    <col min="1" max="1" width="2.08984375" customWidth="1"/>
    <col min="8" max="8" width="3.36328125" customWidth="1"/>
  </cols>
  <sheetData>
    <row r="1" spans="2:8" ht="31" x14ac:dyDescent="0.7">
      <c r="B1" s="7" t="s">
        <v>556</v>
      </c>
      <c r="C1" s="7"/>
      <c r="D1" s="7"/>
      <c r="E1" s="7"/>
      <c r="F1" s="7"/>
      <c r="G1" s="7"/>
      <c r="H1" s="7"/>
    </row>
  </sheetData>
  <mergeCells count="1">
    <mergeCell ref="B1: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workbookViewId="0">
      <pane ySplit="1" topLeftCell="A2" activePane="bottomLeft" state="frozen"/>
      <selection pane="bottomLeft" activeCell="J490" sqref="A2:M501"/>
    </sheetView>
  </sheetViews>
  <sheetFormatPr defaultRowHeight="14.5" x14ac:dyDescent="0.35"/>
  <cols>
    <col min="1" max="1" width="12" customWidth="1"/>
    <col min="2" max="2" width="21" customWidth="1"/>
    <col min="3" max="4" width="12" customWidth="1"/>
    <col min="5" max="5" width="18.54296875" bestFit="1" customWidth="1"/>
    <col min="6" max="6" width="12" customWidth="1"/>
    <col min="7" max="7" width="13.54296875" bestFit="1" customWidth="1"/>
    <col min="8" max="8" width="16" bestFit="1" customWidth="1"/>
    <col min="9" max="9" width="12" customWidth="1"/>
    <col min="10" max="10" width="17" customWidth="1"/>
    <col min="11" max="11" width="19" customWidth="1"/>
    <col min="12" max="12" width="15" customWidth="1"/>
    <col min="13" max="13" width="19" customWidth="1"/>
  </cols>
  <sheetData>
    <row r="1" spans="1:13" x14ac:dyDescent="0.35">
      <c r="A1" s="2" t="s">
        <v>0</v>
      </c>
      <c r="B1" s="2" t="s">
        <v>1</v>
      </c>
      <c r="C1" s="2" t="s">
        <v>2</v>
      </c>
      <c r="D1" s="2" t="s">
        <v>3</v>
      </c>
      <c r="E1" s="2" t="s">
        <v>4</v>
      </c>
      <c r="F1" s="2" t="s">
        <v>5</v>
      </c>
      <c r="G1" s="2" t="s">
        <v>6</v>
      </c>
      <c r="H1" s="2" t="s">
        <v>7</v>
      </c>
      <c r="I1" s="2" t="s">
        <v>8</v>
      </c>
      <c r="J1" s="2" t="s">
        <v>9</v>
      </c>
      <c r="K1" s="2" t="s">
        <v>10</v>
      </c>
      <c r="L1" s="2" t="s">
        <v>11</v>
      </c>
      <c r="M1" s="2" t="s">
        <v>12</v>
      </c>
    </row>
    <row r="2" spans="1:13" x14ac:dyDescent="0.35">
      <c r="A2" t="s">
        <v>13</v>
      </c>
      <c r="B2" s="1">
        <v>45659</v>
      </c>
      <c r="C2" t="s">
        <v>14</v>
      </c>
      <c r="D2" t="s">
        <v>15</v>
      </c>
      <c r="E2">
        <v>249</v>
      </c>
      <c r="F2">
        <v>57</v>
      </c>
      <c r="G2">
        <v>44</v>
      </c>
      <c r="H2">
        <v>262</v>
      </c>
      <c r="I2" t="s">
        <v>16</v>
      </c>
      <c r="J2">
        <v>2416</v>
      </c>
      <c r="K2">
        <v>106304</v>
      </c>
      <c r="L2">
        <v>12</v>
      </c>
      <c r="M2" t="s">
        <v>17</v>
      </c>
    </row>
    <row r="3" spans="1:13" x14ac:dyDescent="0.35">
      <c r="A3" t="s">
        <v>18</v>
      </c>
      <c r="B3" s="1">
        <v>45659</v>
      </c>
      <c r="C3" t="s">
        <v>14</v>
      </c>
      <c r="D3" t="s">
        <v>19</v>
      </c>
      <c r="E3">
        <v>421</v>
      </c>
      <c r="F3">
        <v>27</v>
      </c>
      <c r="G3">
        <v>37</v>
      </c>
      <c r="H3">
        <v>411</v>
      </c>
      <c r="I3" t="s">
        <v>20</v>
      </c>
      <c r="J3">
        <v>849</v>
      </c>
      <c r="K3">
        <v>31413</v>
      </c>
      <c r="L3">
        <v>8</v>
      </c>
      <c r="M3" t="s">
        <v>21</v>
      </c>
    </row>
    <row r="4" spans="1:13" x14ac:dyDescent="0.35">
      <c r="A4" t="s">
        <v>22</v>
      </c>
      <c r="B4" s="1">
        <v>45660</v>
      </c>
      <c r="C4" t="s">
        <v>14</v>
      </c>
      <c r="D4" t="s">
        <v>23</v>
      </c>
      <c r="E4">
        <v>400</v>
      </c>
      <c r="F4">
        <v>27</v>
      </c>
      <c r="G4">
        <v>13</v>
      </c>
      <c r="H4">
        <v>414</v>
      </c>
      <c r="I4" t="s">
        <v>20</v>
      </c>
      <c r="J4">
        <v>1170</v>
      </c>
      <c r="K4">
        <v>15210</v>
      </c>
      <c r="L4">
        <v>12</v>
      </c>
      <c r="M4" t="s">
        <v>24</v>
      </c>
    </row>
    <row r="5" spans="1:13" x14ac:dyDescent="0.35">
      <c r="A5" t="s">
        <v>25</v>
      </c>
      <c r="B5" s="1">
        <v>45662</v>
      </c>
      <c r="C5" t="s">
        <v>14</v>
      </c>
      <c r="D5" t="s">
        <v>26</v>
      </c>
      <c r="E5">
        <v>274</v>
      </c>
      <c r="F5">
        <v>79</v>
      </c>
      <c r="G5">
        <v>36</v>
      </c>
      <c r="H5">
        <v>317</v>
      </c>
      <c r="I5" t="s">
        <v>20</v>
      </c>
      <c r="J5">
        <v>2209</v>
      </c>
      <c r="K5">
        <v>79524</v>
      </c>
      <c r="L5">
        <v>15</v>
      </c>
      <c r="M5" t="s">
        <v>27</v>
      </c>
    </row>
    <row r="6" spans="1:13" x14ac:dyDescent="0.35">
      <c r="A6" t="s">
        <v>28</v>
      </c>
      <c r="B6" s="1">
        <v>45662</v>
      </c>
      <c r="C6" t="s">
        <v>14</v>
      </c>
      <c r="D6" t="s">
        <v>29</v>
      </c>
      <c r="E6">
        <v>473</v>
      </c>
      <c r="F6">
        <v>13</v>
      </c>
      <c r="G6">
        <v>27</v>
      </c>
      <c r="H6">
        <v>459</v>
      </c>
      <c r="I6" t="s">
        <v>30</v>
      </c>
      <c r="J6">
        <v>74</v>
      </c>
      <c r="K6">
        <v>1998</v>
      </c>
      <c r="L6">
        <v>35</v>
      </c>
      <c r="M6" t="s">
        <v>21</v>
      </c>
    </row>
    <row r="7" spans="1:13" x14ac:dyDescent="0.35">
      <c r="A7" t="s">
        <v>31</v>
      </c>
      <c r="B7" s="1">
        <v>45664</v>
      </c>
      <c r="C7" t="s">
        <v>14</v>
      </c>
      <c r="D7" t="s">
        <v>26</v>
      </c>
      <c r="E7">
        <v>333</v>
      </c>
      <c r="F7">
        <v>36</v>
      </c>
      <c r="G7">
        <v>30</v>
      </c>
      <c r="H7">
        <v>339</v>
      </c>
      <c r="I7" t="s">
        <v>16</v>
      </c>
      <c r="J7">
        <v>3760</v>
      </c>
      <c r="K7">
        <v>112800</v>
      </c>
      <c r="L7">
        <v>15</v>
      </c>
      <c r="M7" t="s">
        <v>21</v>
      </c>
    </row>
    <row r="8" spans="1:13" x14ac:dyDescent="0.35">
      <c r="A8" t="s">
        <v>32</v>
      </c>
      <c r="B8" s="1">
        <v>45664</v>
      </c>
      <c r="C8" t="s">
        <v>14</v>
      </c>
      <c r="D8" t="s">
        <v>29</v>
      </c>
      <c r="E8">
        <v>224</v>
      </c>
      <c r="F8">
        <v>40</v>
      </c>
      <c r="G8">
        <v>8</v>
      </c>
      <c r="H8">
        <v>256</v>
      </c>
      <c r="I8" t="s">
        <v>33</v>
      </c>
      <c r="J8">
        <v>139</v>
      </c>
      <c r="K8">
        <v>1112</v>
      </c>
      <c r="L8">
        <v>35</v>
      </c>
      <c r="M8" t="s">
        <v>21</v>
      </c>
    </row>
    <row r="9" spans="1:13" x14ac:dyDescent="0.35">
      <c r="A9" t="s">
        <v>34</v>
      </c>
      <c r="B9" s="1">
        <v>45664</v>
      </c>
      <c r="C9" t="s">
        <v>14</v>
      </c>
      <c r="D9" t="s">
        <v>23</v>
      </c>
      <c r="E9">
        <v>189</v>
      </c>
      <c r="F9">
        <v>52</v>
      </c>
      <c r="G9">
        <v>24</v>
      </c>
      <c r="H9">
        <v>217</v>
      </c>
      <c r="I9" t="s">
        <v>33</v>
      </c>
      <c r="J9">
        <v>773</v>
      </c>
      <c r="K9">
        <v>18552</v>
      </c>
      <c r="L9">
        <v>12</v>
      </c>
      <c r="M9" t="s">
        <v>24</v>
      </c>
    </row>
    <row r="10" spans="1:13" x14ac:dyDescent="0.35">
      <c r="A10" t="s">
        <v>35</v>
      </c>
      <c r="B10" s="1">
        <v>45665</v>
      </c>
      <c r="C10" t="s">
        <v>14</v>
      </c>
      <c r="D10" t="s">
        <v>29</v>
      </c>
      <c r="E10">
        <v>322</v>
      </c>
      <c r="F10">
        <v>52</v>
      </c>
      <c r="G10">
        <v>5</v>
      </c>
      <c r="H10">
        <v>369</v>
      </c>
      <c r="I10" t="s">
        <v>20</v>
      </c>
      <c r="J10">
        <v>97</v>
      </c>
      <c r="K10">
        <v>485</v>
      </c>
      <c r="L10">
        <v>35</v>
      </c>
      <c r="M10" t="s">
        <v>21</v>
      </c>
    </row>
    <row r="11" spans="1:13" x14ac:dyDescent="0.35">
      <c r="A11" t="s">
        <v>36</v>
      </c>
      <c r="B11" s="1">
        <v>45665</v>
      </c>
      <c r="C11" t="s">
        <v>14</v>
      </c>
      <c r="D11" t="s">
        <v>15</v>
      </c>
      <c r="E11">
        <v>223</v>
      </c>
      <c r="F11">
        <v>100</v>
      </c>
      <c r="G11">
        <v>15</v>
      </c>
      <c r="H11">
        <v>308</v>
      </c>
      <c r="I11" t="s">
        <v>30</v>
      </c>
      <c r="J11">
        <v>2405</v>
      </c>
      <c r="K11">
        <v>36075</v>
      </c>
      <c r="L11">
        <v>12</v>
      </c>
      <c r="M11" t="s">
        <v>21</v>
      </c>
    </row>
    <row r="12" spans="1:13" x14ac:dyDescent="0.35">
      <c r="A12" t="s">
        <v>37</v>
      </c>
      <c r="B12" s="1">
        <v>45666</v>
      </c>
      <c r="C12" t="s">
        <v>14</v>
      </c>
      <c r="D12" t="s">
        <v>38</v>
      </c>
      <c r="E12">
        <v>43</v>
      </c>
      <c r="F12">
        <v>68</v>
      </c>
      <c r="G12">
        <v>35</v>
      </c>
      <c r="H12">
        <v>76</v>
      </c>
      <c r="I12" t="s">
        <v>20</v>
      </c>
      <c r="J12">
        <v>290</v>
      </c>
      <c r="K12">
        <v>10150</v>
      </c>
      <c r="L12">
        <v>30</v>
      </c>
      <c r="M12" t="s">
        <v>17</v>
      </c>
    </row>
    <row r="13" spans="1:13" x14ac:dyDescent="0.35">
      <c r="A13" t="s">
        <v>39</v>
      </c>
      <c r="B13" s="1">
        <v>45666</v>
      </c>
      <c r="C13" t="s">
        <v>14</v>
      </c>
      <c r="D13" t="s">
        <v>40</v>
      </c>
      <c r="E13">
        <v>163</v>
      </c>
      <c r="F13">
        <v>26</v>
      </c>
      <c r="G13">
        <v>4</v>
      </c>
      <c r="H13">
        <v>185</v>
      </c>
      <c r="I13" t="s">
        <v>33</v>
      </c>
      <c r="J13">
        <v>223</v>
      </c>
      <c r="K13">
        <v>892</v>
      </c>
      <c r="L13">
        <v>25</v>
      </c>
      <c r="M13" t="s">
        <v>27</v>
      </c>
    </row>
    <row r="14" spans="1:13" x14ac:dyDescent="0.35">
      <c r="A14" t="s">
        <v>41</v>
      </c>
      <c r="B14" s="1">
        <v>45667</v>
      </c>
      <c r="C14" t="s">
        <v>14</v>
      </c>
      <c r="D14" t="s">
        <v>38</v>
      </c>
      <c r="E14">
        <v>423</v>
      </c>
      <c r="F14">
        <v>69</v>
      </c>
      <c r="G14">
        <v>3</v>
      </c>
      <c r="H14">
        <v>489</v>
      </c>
      <c r="I14" t="s">
        <v>42</v>
      </c>
      <c r="J14">
        <v>259</v>
      </c>
      <c r="K14">
        <v>777</v>
      </c>
      <c r="L14">
        <v>30</v>
      </c>
      <c r="M14" t="s">
        <v>17</v>
      </c>
    </row>
    <row r="15" spans="1:13" x14ac:dyDescent="0.35">
      <c r="A15" t="s">
        <v>43</v>
      </c>
      <c r="B15" s="1">
        <v>45669</v>
      </c>
      <c r="C15" t="s">
        <v>14</v>
      </c>
      <c r="D15" t="s">
        <v>26</v>
      </c>
      <c r="E15">
        <v>73</v>
      </c>
      <c r="F15">
        <v>25</v>
      </c>
      <c r="G15">
        <v>57</v>
      </c>
      <c r="H15">
        <v>41</v>
      </c>
      <c r="I15" t="s">
        <v>42</v>
      </c>
      <c r="J15">
        <v>3616</v>
      </c>
      <c r="K15">
        <v>206112</v>
      </c>
      <c r="L15">
        <v>15</v>
      </c>
      <c r="M15" t="s">
        <v>27</v>
      </c>
    </row>
    <row r="16" spans="1:13" x14ac:dyDescent="0.35">
      <c r="A16" t="s">
        <v>44</v>
      </c>
      <c r="B16" s="1">
        <v>45669</v>
      </c>
      <c r="C16" t="s">
        <v>14</v>
      </c>
      <c r="D16" t="s">
        <v>45</v>
      </c>
      <c r="E16">
        <v>192</v>
      </c>
      <c r="F16">
        <v>59</v>
      </c>
      <c r="G16">
        <v>43</v>
      </c>
      <c r="H16">
        <v>208</v>
      </c>
      <c r="I16" t="s">
        <v>33</v>
      </c>
      <c r="J16">
        <v>6445</v>
      </c>
      <c r="K16">
        <v>277135</v>
      </c>
      <c r="L16">
        <v>8</v>
      </c>
      <c r="M16" t="s">
        <v>27</v>
      </c>
    </row>
    <row r="17" spans="1:13" x14ac:dyDescent="0.35">
      <c r="A17" t="s">
        <v>46</v>
      </c>
      <c r="B17" s="1">
        <v>45670</v>
      </c>
      <c r="C17" t="s">
        <v>14</v>
      </c>
      <c r="D17" t="s">
        <v>38</v>
      </c>
      <c r="E17">
        <v>357</v>
      </c>
      <c r="F17">
        <v>71</v>
      </c>
      <c r="G17">
        <v>20</v>
      </c>
      <c r="H17">
        <v>408</v>
      </c>
      <c r="I17" t="s">
        <v>20</v>
      </c>
      <c r="J17">
        <v>193</v>
      </c>
      <c r="K17">
        <v>3860</v>
      </c>
      <c r="L17">
        <v>30</v>
      </c>
      <c r="M17" t="s">
        <v>21</v>
      </c>
    </row>
    <row r="18" spans="1:13" x14ac:dyDescent="0.35">
      <c r="A18" t="s">
        <v>47</v>
      </c>
      <c r="B18" s="1">
        <v>45670</v>
      </c>
      <c r="C18" t="s">
        <v>14</v>
      </c>
      <c r="D18" t="s">
        <v>26</v>
      </c>
      <c r="E18">
        <v>419</v>
      </c>
      <c r="F18">
        <v>35</v>
      </c>
      <c r="G18">
        <v>15</v>
      </c>
      <c r="H18">
        <v>439</v>
      </c>
      <c r="I18" t="s">
        <v>42</v>
      </c>
      <c r="J18">
        <v>2714</v>
      </c>
      <c r="K18">
        <v>40710</v>
      </c>
      <c r="L18">
        <v>15</v>
      </c>
      <c r="M18" t="s">
        <v>27</v>
      </c>
    </row>
    <row r="19" spans="1:13" x14ac:dyDescent="0.35">
      <c r="A19" t="s">
        <v>48</v>
      </c>
      <c r="B19" s="1">
        <v>45671</v>
      </c>
      <c r="C19" t="s">
        <v>14</v>
      </c>
      <c r="D19" t="s">
        <v>26</v>
      </c>
      <c r="E19">
        <v>85</v>
      </c>
      <c r="F19">
        <v>45</v>
      </c>
      <c r="G19">
        <v>35</v>
      </c>
      <c r="H19">
        <v>95</v>
      </c>
      <c r="I19" t="s">
        <v>33</v>
      </c>
      <c r="J19">
        <v>2181</v>
      </c>
      <c r="K19">
        <v>76335</v>
      </c>
      <c r="L19">
        <v>15</v>
      </c>
      <c r="M19" t="s">
        <v>21</v>
      </c>
    </row>
    <row r="20" spans="1:13" x14ac:dyDescent="0.35">
      <c r="A20" t="s">
        <v>49</v>
      </c>
      <c r="B20" s="1">
        <v>45672</v>
      </c>
      <c r="C20" t="s">
        <v>14</v>
      </c>
      <c r="D20" t="s">
        <v>23</v>
      </c>
      <c r="E20">
        <v>417</v>
      </c>
      <c r="F20">
        <v>78</v>
      </c>
      <c r="G20">
        <v>56</v>
      </c>
      <c r="H20">
        <v>439</v>
      </c>
      <c r="I20" t="s">
        <v>16</v>
      </c>
      <c r="J20">
        <v>1004</v>
      </c>
      <c r="K20">
        <v>56224</v>
      </c>
      <c r="L20">
        <v>12</v>
      </c>
      <c r="M20" t="s">
        <v>50</v>
      </c>
    </row>
    <row r="21" spans="1:13" x14ac:dyDescent="0.35">
      <c r="A21" t="s">
        <v>51</v>
      </c>
      <c r="B21" s="1">
        <v>45672</v>
      </c>
      <c r="C21" t="s">
        <v>14</v>
      </c>
      <c r="D21" t="s">
        <v>19</v>
      </c>
      <c r="E21">
        <v>63</v>
      </c>
      <c r="F21">
        <v>41</v>
      </c>
      <c r="G21">
        <v>50</v>
      </c>
      <c r="H21">
        <v>54</v>
      </c>
      <c r="I21" t="s">
        <v>30</v>
      </c>
      <c r="J21">
        <v>814</v>
      </c>
      <c r="K21">
        <v>40700</v>
      </c>
      <c r="L21">
        <v>8</v>
      </c>
      <c r="M21" t="s">
        <v>21</v>
      </c>
    </row>
    <row r="22" spans="1:13" x14ac:dyDescent="0.35">
      <c r="A22" t="s">
        <v>52</v>
      </c>
      <c r="B22" s="1">
        <v>45672</v>
      </c>
      <c r="C22" t="s">
        <v>14</v>
      </c>
      <c r="D22" t="s">
        <v>53</v>
      </c>
      <c r="E22">
        <v>293</v>
      </c>
      <c r="F22">
        <v>41</v>
      </c>
      <c r="G22">
        <v>11</v>
      </c>
      <c r="H22">
        <v>323</v>
      </c>
      <c r="I22" t="s">
        <v>42</v>
      </c>
      <c r="J22">
        <v>749</v>
      </c>
      <c r="K22">
        <v>8239</v>
      </c>
      <c r="L22">
        <v>20</v>
      </c>
      <c r="M22" t="s">
        <v>50</v>
      </c>
    </row>
    <row r="23" spans="1:13" x14ac:dyDescent="0.35">
      <c r="A23" t="s">
        <v>54</v>
      </c>
      <c r="B23" s="1">
        <v>45672</v>
      </c>
      <c r="C23" t="s">
        <v>14</v>
      </c>
      <c r="D23" t="s">
        <v>55</v>
      </c>
      <c r="E23">
        <v>203</v>
      </c>
      <c r="F23">
        <v>12</v>
      </c>
      <c r="G23">
        <v>53</v>
      </c>
      <c r="H23">
        <v>162</v>
      </c>
      <c r="I23" t="s">
        <v>30</v>
      </c>
      <c r="J23">
        <v>2363</v>
      </c>
      <c r="K23">
        <v>125239</v>
      </c>
      <c r="L23">
        <v>10</v>
      </c>
      <c r="M23" t="s">
        <v>17</v>
      </c>
    </row>
    <row r="24" spans="1:13" x14ac:dyDescent="0.35">
      <c r="A24" t="s">
        <v>56</v>
      </c>
      <c r="B24" s="1">
        <v>45673</v>
      </c>
      <c r="C24" t="s">
        <v>14</v>
      </c>
      <c r="D24" t="s">
        <v>45</v>
      </c>
      <c r="E24">
        <v>166</v>
      </c>
      <c r="F24">
        <v>25</v>
      </c>
      <c r="G24">
        <v>53</v>
      </c>
      <c r="H24">
        <v>138</v>
      </c>
      <c r="I24" t="s">
        <v>33</v>
      </c>
      <c r="J24">
        <v>3583</v>
      </c>
      <c r="K24">
        <v>189899</v>
      </c>
      <c r="L24">
        <v>8</v>
      </c>
      <c r="M24" t="s">
        <v>17</v>
      </c>
    </row>
    <row r="25" spans="1:13" x14ac:dyDescent="0.35">
      <c r="A25" t="s">
        <v>57</v>
      </c>
      <c r="B25" s="1">
        <v>45673</v>
      </c>
      <c r="C25" t="s">
        <v>14</v>
      </c>
      <c r="D25" t="s">
        <v>53</v>
      </c>
      <c r="E25">
        <v>364</v>
      </c>
      <c r="F25">
        <v>34</v>
      </c>
      <c r="G25">
        <v>50</v>
      </c>
      <c r="H25">
        <v>348</v>
      </c>
      <c r="I25" t="s">
        <v>16</v>
      </c>
      <c r="J25">
        <v>711</v>
      </c>
      <c r="K25">
        <v>35550</v>
      </c>
      <c r="L25">
        <v>20</v>
      </c>
      <c r="M25" t="s">
        <v>24</v>
      </c>
    </row>
    <row r="26" spans="1:13" x14ac:dyDescent="0.35">
      <c r="A26" t="s">
        <v>58</v>
      </c>
      <c r="B26" s="1">
        <v>45676</v>
      </c>
      <c r="C26" t="s">
        <v>14</v>
      </c>
      <c r="D26" t="s">
        <v>29</v>
      </c>
      <c r="E26">
        <v>444</v>
      </c>
      <c r="F26">
        <v>46</v>
      </c>
      <c r="G26">
        <v>44</v>
      </c>
      <c r="H26">
        <v>446</v>
      </c>
      <c r="I26" t="s">
        <v>33</v>
      </c>
      <c r="J26">
        <v>177</v>
      </c>
      <c r="K26">
        <v>7788</v>
      </c>
      <c r="L26">
        <v>35</v>
      </c>
      <c r="M26" t="s">
        <v>17</v>
      </c>
    </row>
    <row r="27" spans="1:13" x14ac:dyDescent="0.35">
      <c r="A27" t="s">
        <v>59</v>
      </c>
      <c r="B27" s="1">
        <v>45677</v>
      </c>
      <c r="C27" t="s">
        <v>14</v>
      </c>
      <c r="D27" t="s">
        <v>29</v>
      </c>
      <c r="E27">
        <v>129</v>
      </c>
      <c r="F27">
        <v>53</v>
      </c>
      <c r="G27">
        <v>56</v>
      </c>
      <c r="H27">
        <v>126</v>
      </c>
      <c r="I27" t="s">
        <v>20</v>
      </c>
      <c r="J27">
        <v>85</v>
      </c>
      <c r="K27">
        <v>4760</v>
      </c>
      <c r="L27">
        <v>35</v>
      </c>
      <c r="M27" t="s">
        <v>21</v>
      </c>
    </row>
    <row r="28" spans="1:13" x14ac:dyDescent="0.35">
      <c r="A28" t="s">
        <v>60</v>
      </c>
      <c r="B28" s="1">
        <v>45677</v>
      </c>
      <c r="C28" t="s">
        <v>14</v>
      </c>
      <c r="D28" t="s">
        <v>15</v>
      </c>
      <c r="E28">
        <v>186</v>
      </c>
      <c r="F28">
        <v>60</v>
      </c>
      <c r="G28">
        <v>44</v>
      </c>
      <c r="H28">
        <v>202</v>
      </c>
      <c r="I28" t="s">
        <v>42</v>
      </c>
      <c r="J28">
        <v>2902</v>
      </c>
      <c r="K28">
        <v>127688</v>
      </c>
      <c r="L28">
        <v>12</v>
      </c>
      <c r="M28" t="s">
        <v>17</v>
      </c>
    </row>
    <row r="29" spans="1:13" x14ac:dyDescent="0.35">
      <c r="A29" t="s">
        <v>61</v>
      </c>
      <c r="B29" s="1">
        <v>45678</v>
      </c>
      <c r="C29" t="s">
        <v>14</v>
      </c>
      <c r="D29" t="s">
        <v>29</v>
      </c>
      <c r="E29">
        <v>63</v>
      </c>
      <c r="F29">
        <v>4</v>
      </c>
      <c r="G29">
        <v>8</v>
      </c>
      <c r="H29">
        <v>59</v>
      </c>
      <c r="I29" t="s">
        <v>16</v>
      </c>
      <c r="J29">
        <v>125</v>
      </c>
      <c r="K29">
        <v>1000</v>
      </c>
      <c r="L29">
        <v>35</v>
      </c>
      <c r="M29" t="s">
        <v>21</v>
      </c>
    </row>
    <row r="30" spans="1:13" x14ac:dyDescent="0.35">
      <c r="A30" t="s">
        <v>62</v>
      </c>
      <c r="B30" s="1">
        <v>45679</v>
      </c>
      <c r="C30" t="s">
        <v>14</v>
      </c>
      <c r="D30" t="s">
        <v>29</v>
      </c>
      <c r="E30">
        <v>157</v>
      </c>
      <c r="F30">
        <v>27</v>
      </c>
      <c r="G30">
        <v>57</v>
      </c>
      <c r="H30">
        <v>127</v>
      </c>
      <c r="I30" t="s">
        <v>33</v>
      </c>
      <c r="J30">
        <v>217</v>
      </c>
      <c r="K30">
        <v>12369</v>
      </c>
      <c r="L30">
        <v>35</v>
      </c>
      <c r="M30" t="s">
        <v>21</v>
      </c>
    </row>
    <row r="31" spans="1:13" x14ac:dyDescent="0.35">
      <c r="A31" t="s">
        <v>63</v>
      </c>
      <c r="B31" s="1">
        <v>45679</v>
      </c>
      <c r="C31" t="s">
        <v>14</v>
      </c>
      <c r="D31" t="s">
        <v>15</v>
      </c>
      <c r="E31">
        <v>197</v>
      </c>
      <c r="F31">
        <v>46</v>
      </c>
      <c r="G31">
        <v>57</v>
      </c>
      <c r="H31">
        <v>186</v>
      </c>
      <c r="I31" t="s">
        <v>20</v>
      </c>
      <c r="J31">
        <v>2830</v>
      </c>
      <c r="K31">
        <v>161310</v>
      </c>
      <c r="L31">
        <v>12</v>
      </c>
      <c r="M31" t="s">
        <v>17</v>
      </c>
    </row>
    <row r="32" spans="1:13" x14ac:dyDescent="0.35">
      <c r="A32" t="s">
        <v>64</v>
      </c>
      <c r="B32" s="1">
        <v>45680</v>
      </c>
      <c r="C32" t="s">
        <v>14</v>
      </c>
      <c r="D32" t="s">
        <v>19</v>
      </c>
      <c r="E32">
        <v>402</v>
      </c>
      <c r="F32">
        <v>55</v>
      </c>
      <c r="G32">
        <v>0</v>
      </c>
      <c r="H32">
        <v>457</v>
      </c>
      <c r="I32" t="s">
        <v>33</v>
      </c>
      <c r="J32">
        <v>1764</v>
      </c>
      <c r="K32">
        <v>0</v>
      </c>
      <c r="L32">
        <v>8</v>
      </c>
      <c r="M32" t="s">
        <v>50</v>
      </c>
    </row>
    <row r="33" spans="1:13" x14ac:dyDescent="0.35">
      <c r="A33" t="s">
        <v>65</v>
      </c>
      <c r="B33" s="1">
        <v>45680</v>
      </c>
      <c r="C33" t="s">
        <v>14</v>
      </c>
      <c r="D33" t="s">
        <v>19</v>
      </c>
      <c r="E33">
        <v>454</v>
      </c>
      <c r="F33">
        <v>90</v>
      </c>
      <c r="G33">
        <v>7</v>
      </c>
      <c r="H33">
        <v>537</v>
      </c>
      <c r="I33" t="s">
        <v>30</v>
      </c>
      <c r="J33">
        <v>746</v>
      </c>
      <c r="K33">
        <v>5222</v>
      </c>
      <c r="L33">
        <v>8</v>
      </c>
      <c r="M33" t="s">
        <v>50</v>
      </c>
    </row>
    <row r="34" spans="1:13" x14ac:dyDescent="0.35">
      <c r="A34" t="s">
        <v>66</v>
      </c>
      <c r="B34" s="1">
        <v>45680</v>
      </c>
      <c r="C34" t="s">
        <v>14</v>
      </c>
      <c r="D34" t="s">
        <v>19</v>
      </c>
      <c r="E34">
        <v>41</v>
      </c>
      <c r="F34">
        <v>42</v>
      </c>
      <c r="G34">
        <v>49</v>
      </c>
      <c r="H34">
        <v>34</v>
      </c>
      <c r="I34" t="s">
        <v>30</v>
      </c>
      <c r="J34">
        <v>967</v>
      </c>
      <c r="K34">
        <v>47383</v>
      </c>
      <c r="L34">
        <v>8</v>
      </c>
      <c r="M34" t="s">
        <v>50</v>
      </c>
    </row>
    <row r="35" spans="1:13" x14ac:dyDescent="0.35">
      <c r="A35" t="s">
        <v>67</v>
      </c>
      <c r="B35" s="1">
        <v>45680</v>
      </c>
      <c r="C35" t="s">
        <v>14</v>
      </c>
      <c r="D35" t="s">
        <v>38</v>
      </c>
      <c r="E35">
        <v>250</v>
      </c>
      <c r="F35">
        <v>46</v>
      </c>
      <c r="G35">
        <v>43</v>
      </c>
      <c r="H35">
        <v>253</v>
      </c>
      <c r="I35" t="s">
        <v>16</v>
      </c>
      <c r="J35">
        <v>201</v>
      </c>
      <c r="K35">
        <v>8643</v>
      </c>
      <c r="L35">
        <v>30</v>
      </c>
      <c r="M35" t="s">
        <v>21</v>
      </c>
    </row>
    <row r="36" spans="1:13" x14ac:dyDescent="0.35">
      <c r="A36" t="s">
        <v>68</v>
      </c>
      <c r="B36" s="1">
        <v>45680</v>
      </c>
      <c r="C36" t="s">
        <v>14</v>
      </c>
      <c r="D36" t="s">
        <v>55</v>
      </c>
      <c r="E36">
        <v>445</v>
      </c>
      <c r="F36">
        <v>25</v>
      </c>
      <c r="G36">
        <v>56</v>
      </c>
      <c r="H36">
        <v>414</v>
      </c>
      <c r="I36" t="s">
        <v>30</v>
      </c>
      <c r="J36">
        <v>985</v>
      </c>
      <c r="K36">
        <v>55160</v>
      </c>
      <c r="L36">
        <v>10</v>
      </c>
      <c r="M36" t="s">
        <v>50</v>
      </c>
    </row>
    <row r="37" spans="1:13" x14ac:dyDescent="0.35">
      <c r="A37" t="s">
        <v>69</v>
      </c>
      <c r="B37" s="1">
        <v>45680</v>
      </c>
      <c r="C37" t="s">
        <v>14</v>
      </c>
      <c r="D37" t="s">
        <v>15</v>
      </c>
      <c r="E37">
        <v>220</v>
      </c>
      <c r="F37">
        <v>69</v>
      </c>
      <c r="G37">
        <v>21</v>
      </c>
      <c r="H37">
        <v>268</v>
      </c>
      <c r="I37" t="s">
        <v>42</v>
      </c>
      <c r="J37">
        <v>2866</v>
      </c>
      <c r="K37">
        <v>60186</v>
      </c>
      <c r="L37">
        <v>12</v>
      </c>
      <c r="M37" t="s">
        <v>17</v>
      </c>
    </row>
    <row r="38" spans="1:13" x14ac:dyDescent="0.35">
      <c r="A38" t="s">
        <v>70</v>
      </c>
      <c r="B38" s="1">
        <v>45681</v>
      </c>
      <c r="C38" t="s">
        <v>14</v>
      </c>
      <c r="D38" t="s">
        <v>19</v>
      </c>
      <c r="E38">
        <v>67</v>
      </c>
      <c r="F38">
        <v>70</v>
      </c>
      <c r="G38">
        <v>18</v>
      </c>
      <c r="H38">
        <v>119</v>
      </c>
      <c r="I38" t="s">
        <v>42</v>
      </c>
      <c r="J38">
        <v>2128</v>
      </c>
      <c r="K38">
        <v>38304</v>
      </c>
      <c r="L38">
        <v>8</v>
      </c>
      <c r="M38" t="s">
        <v>21</v>
      </c>
    </row>
    <row r="39" spans="1:13" x14ac:dyDescent="0.35">
      <c r="A39" t="s">
        <v>71</v>
      </c>
      <c r="B39" s="1">
        <v>45681</v>
      </c>
      <c r="C39" t="s">
        <v>14</v>
      </c>
      <c r="D39" t="s">
        <v>29</v>
      </c>
      <c r="E39">
        <v>245</v>
      </c>
      <c r="F39">
        <v>8</v>
      </c>
      <c r="G39">
        <v>56</v>
      </c>
      <c r="H39">
        <v>197</v>
      </c>
      <c r="I39" t="s">
        <v>30</v>
      </c>
      <c r="J39">
        <v>159</v>
      </c>
      <c r="K39">
        <v>8904</v>
      </c>
      <c r="L39">
        <v>35</v>
      </c>
      <c r="M39" t="s">
        <v>21</v>
      </c>
    </row>
    <row r="40" spans="1:13" x14ac:dyDescent="0.35">
      <c r="A40" t="s">
        <v>72</v>
      </c>
      <c r="B40" s="1">
        <v>45681</v>
      </c>
      <c r="C40" t="s">
        <v>14</v>
      </c>
      <c r="D40" t="s">
        <v>19</v>
      </c>
      <c r="E40">
        <v>78</v>
      </c>
      <c r="F40">
        <v>87</v>
      </c>
      <c r="G40">
        <v>59</v>
      </c>
      <c r="H40">
        <v>106</v>
      </c>
      <c r="I40" t="s">
        <v>33</v>
      </c>
      <c r="J40">
        <v>1274</v>
      </c>
      <c r="K40">
        <v>75166</v>
      </c>
      <c r="L40">
        <v>8</v>
      </c>
      <c r="M40" t="s">
        <v>50</v>
      </c>
    </row>
    <row r="41" spans="1:13" x14ac:dyDescent="0.35">
      <c r="A41" t="s">
        <v>73</v>
      </c>
      <c r="B41" s="1">
        <v>45682</v>
      </c>
      <c r="C41" t="s">
        <v>14</v>
      </c>
      <c r="D41" t="s">
        <v>26</v>
      </c>
      <c r="E41">
        <v>162</v>
      </c>
      <c r="F41">
        <v>53</v>
      </c>
      <c r="G41">
        <v>40</v>
      </c>
      <c r="H41">
        <v>175</v>
      </c>
      <c r="I41" t="s">
        <v>20</v>
      </c>
      <c r="J41">
        <v>3672</v>
      </c>
      <c r="K41">
        <v>146880</v>
      </c>
      <c r="L41">
        <v>15</v>
      </c>
      <c r="M41" t="s">
        <v>27</v>
      </c>
    </row>
    <row r="42" spans="1:13" x14ac:dyDescent="0.35">
      <c r="A42" t="s">
        <v>74</v>
      </c>
      <c r="B42" s="1">
        <v>45683</v>
      </c>
      <c r="C42" t="s">
        <v>14</v>
      </c>
      <c r="D42" t="s">
        <v>29</v>
      </c>
      <c r="E42">
        <v>386</v>
      </c>
      <c r="F42">
        <v>38</v>
      </c>
      <c r="G42">
        <v>16</v>
      </c>
      <c r="H42">
        <v>408</v>
      </c>
      <c r="I42" t="s">
        <v>20</v>
      </c>
      <c r="J42">
        <v>84</v>
      </c>
      <c r="K42">
        <v>1344</v>
      </c>
      <c r="L42">
        <v>35</v>
      </c>
      <c r="M42" t="s">
        <v>21</v>
      </c>
    </row>
    <row r="43" spans="1:13" x14ac:dyDescent="0.35">
      <c r="A43" t="s">
        <v>75</v>
      </c>
      <c r="B43" s="1">
        <v>45683</v>
      </c>
      <c r="C43" t="s">
        <v>14</v>
      </c>
      <c r="D43" t="s">
        <v>45</v>
      </c>
      <c r="E43">
        <v>184</v>
      </c>
      <c r="F43">
        <v>63</v>
      </c>
      <c r="G43">
        <v>38</v>
      </c>
      <c r="H43">
        <v>209</v>
      </c>
      <c r="I43" t="s">
        <v>16</v>
      </c>
      <c r="J43">
        <v>6179</v>
      </c>
      <c r="K43">
        <v>234802</v>
      </c>
      <c r="L43">
        <v>8</v>
      </c>
      <c r="M43" t="s">
        <v>27</v>
      </c>
    </row>
    <row r="44" spans="1:13" x14ac:dyDescent="0.35">
      <c r="A44" t="s">
        <v>76</v>
      </c>
      <c r="B44" s="1">
        <v>45684</v>
      </c>
      <c r="C44" t="s">
        <v>14</v>
      </c>
      <c r="D44" t="s">
        <v>38</v>
      </c>
      <c r="E44">
        <v>144</v>
      </c>
      <c r="F44">
        <v>34</v>
      </c>
      <c r="G44">
        <v>35</v>
      </c>
      <c r="H44">
        <v>143</v>
      </c>
      <c r="I44" t="s">
        <v>30</v>
      </c>
      <c r="J44">
        <v>147</v>
      </c>
      <c r="K44">
        <v>5145</v>
      </c>
      <c r="L44">
        <v>30</v>
      </c>
      <c r="M44" t="s">
        <v>21</v>
      </c>
    </row>
    <row r="45" spans="1:13" x14ac:dyDescent="0.35">
      <c r="A45" t="s">
        <v>77</v>
      </c>
      <c r="B45" s="1">
        <v>45684</v>
      </c>
      <c r="C45" t="s">
        <v>14</v>
      </c>
      <c r="D45" t="s">
        <v>23</v>
      </c>
      <c r="E45">
        <v>187</v>
      </c>
      <c r="F45">
        <v>76</v>
      </c>
      <c r="G45">
        <v>19</v>
      </c>
      <c r="H45">
        <v>244</v>
      </c>
      <c r="I45" t="s">
        <v>20</v>
      </c>
      <c r="J45">
        <v>1320</v>
      </c>
      <c r="K45">
        <v>25080</v>
      </c>
      <c r="L45">
        <v>12</v>
      </c>
      <c r="M45" t="s">
        <v>24</v>
      </c>
    </row>
    <row r="46" spans="1:13" x14ac:dyDescent="0.35">
      <c r="A46" t="s">
        <v>78</v>
      </c>
      <c r="B46" s="1">
        <v>45684</v>
      </c>
      <c r="C46" t="s">
        <v>14</v>
      </c>
      <c r="D46" t="s">
        <v>15</v>
      </c>
      <c r="E46">
        <v>169</v>
      </c>
      <c r="F46">
        <v>61</v>
      </c>
      <c r="G46">
        <v>7</v>
      </c>
      <c r="H46">
        <v>223</v>
      </c>
      <c r="I46" t="s">
        <v>20</v>
      </c>
      <c r="J46">
        <v>2883</v>
      </c>
      <c r="K46">
        <v>20181</v>
      </c>
      <c r="L46">
        <v>12</v>
      </c>
      <c r="M46" t="s">
        <v>17</v>
      </c>
    </row>
    <row r="47" spans="1:13" x14ac:dyDescent="0.35">
      <c r="A47" t="s">
        <v>79</v>
      </c>
      <c r="B47" s="1">
        <v>45686</v>
      </c>
      <c r="C47" t="s">
        <v>14</v>
      </c>
      <c r="D47" t="s">
        <v>53</v>
      </c>
      <c r="E47">
        <v>157</v>
      </c>
      <c r="F47">
        <v>4</v>
      </c>
      <c r="G47">
        <v>51</v>
      </c>
      <c r="H47">
        <v>110</v>
      </c>
      <c r="I47" t="s">
        <v>16</v>
      </c>
      <c r="J47">
        <v>573</v>
      </c>
      <c r="K47">
        <v>29223</v>
      </c>
      <c r="L47">
        <v>20</v>
      </c>
      <c r="M47" t="s">
        <v>50</v>
      </c>
    </row>
    <row r="48" spans="1:13" x14ac:dyDescent="0.35">
      <c r="A48" t="s">
        <v>80</v>
      </c>
      <c r="B48" s="1">
        <v>45687</v>
      </c>
      <c r="C48" t="s">
        <v>14</v>
      </c>
      <c r="D48" t="s">
        <v>55</v>
      </c>
      <c r="E48">
        <v>165</v>
      </c>
      <c r="F48">
        <v>11</v>
      </c>
      <c r="G48">
        <v>59</v>
      </c>
      <c r="H48">
        <v>117</v>
      </c>
      <c r="I48" t="s">
        <v>20</v>
      </c>
      <c r="J48">
        <v>1789</v>
      </c>
      <c r="K48">
        <v>105551</v>
      </c>
      <c r="L48">
        <v>10</v>
      </c>
      <c r="M48" t="s">
        <v>50</v>
      </c>
    </row>
    <row r="49" spans="1:13" x14ac:dyDescent="0.35">
      <c r="A49" t="s">
        <v>81</v>
      </c>
      <c r="B49" s="1">
        <v>45689</v>
      </c>
      <c r="C49" t="s">
        <v>82</v>
      </c>
      <c r="D49" t="s">
        <v>45</v>
      </c>
      <c r="E49">
        <v>285</v>
      </c>
      <c r="F49">
        <v>51</v>
      </c>
      <c r="G49">
        <v>27</v>
      </c>
      <c r="H49">
        <v>309</v>
      </c>
      <c r="I49" t="s">
        <v>20</v>
      </c>
      <c r="J49">
        <v>6310</v>
      </c>
      <c r="K49">
        <v>170370</v>
      </c>
      <c r="L49">
        <v>8</v>
      </c>
      <c r="M49" t="s">
        <v>27</v>
      </c>
    </row>
    <row r="50" spans="1:13" x14ac:dyDescent="0.35">
      <c r="A50" t="s">
        <v>83</v>
      </c>
      <c r="B50" s="1">
        <v>45690</v>
      </c>
      <c r="C50" t="s">
        <v>82</v>
      </c>
      <c r="D50" t="s">
        <v>53</v>
      </c>
      <c r="E50">
        <v>447</v>
      </c>
      <c r="F50">
        <v>68</v>
      </c>
      <c r="G50">
        <v>25</v>
      </c>
      <c r="H50">
        <v>490</v>
      </c>
      <c r="I50" t="s">
        <v>16</v>
      </c>
      <c r="J50">
        <v>473</v>
      </c>
      <c r="K50">
        <v>11825</v>
      </c>
      <c r="L50">
        <v>20</v>
      </c>
      <c r="M50" t="s">
        <v>24</v>
      </c>
    </row>
    <row r="51" spans="1:13" x14ac:dyDescent="0.35">
      <c r="A51" t="s">
        <v>84</v>
      </c>
      <c r="B51" s="1">
        <v>45692</v>
      </c>
      <c r="C51" t="s">
        <v>82</v>
      </c>
      <c r="D51" t="s">
        <v>53</v>
      </c>
      <c r="E51">
        <v>216</v>
      </c>
      <c r="F51">
        <v>30</v>
      </c>
      <c r="G51">
        <v>46</v>
      </c>
      <c r="H51">
        <v>200</v>
      </c>
      <c r="I51" t="s">
        <v>20</v>
      </c>
      <c r="J51">
        <v>893</v>
      </c>
      <c r="K51">
        <v>41078</v>
      </c>
      <c r="L51">
        <v>20</v>
      </c>
      <c r="M51" t="s">
        <v>50</v>
      </c>
    </row>
    <row r="52" spans="1:13" x14ac:dyDescent="0.35">
      <c r="A52" t="s">
        <v>85</v>
      </c>
      <c r="B52" s="1">
        <v>45692</v>
      </c>
      <c r="C52" t="s">
        <v>82</v>
      </c>
      <c r="D52" t="s">
        <v>40</v>
      </c>
      <c r="E52">
        <v>47</v>
      </c>
      <c r="F52">
        <v>33</v>
      </c>
      <c r="G52">
        <v>13</v>
      </c>
      <c r="H52">
        <v>67</v>
      </c>
      <c r="I52" t="s">
        <v>20</v>
      </c>
      <c r="J52">
        <v>160</v>
      </c>
      <c r="K52">
        <v>2080</v>
      </c>
      <c r="L52">
        <v>25</v>
      </c>
      <c r="M52" t="s">
        <v>21</v>
      </c>
    </row>
    <row r="53" spans="1:13" x14ac:dyDescent="0.35">
      <c r="A53" t="s">
        <v>86</v>
      </c>
      <c r="B53" s="1">
        <v>45693</v>
      </c>
      <c r="C53" t="s">
        <v>82</v>
      </c>
      <c r="D53" t="s">
        <v>40</v>
      </c>
      <c r="E53">
        <v>160</v>
      </c>
      <c r="F53">
        <v>80</v>
      </c>
      <c r="G53">
        <v>43</v>
      </c>
      <c r="H53">
        <v>197</v>
      </c>
      <c r="I53" t="s">
        <v>42</v>
      </c>
      <c r="J53">
        <v>414</v>
      </c>
      <c r="K53">
        <v>17802</v>
      </c>
      <c r="L53">
        <v>25</v>
      </c>
      <c r="M53" t="s">
        <v>27</v>
      </c>
    </row>
    <row r="54" spans="1:13" x14ac:dyDescent="0.35">
      <c r="A54" t="s">
        <v>87</v>
      </c>
      <c r="B54" s="1">
        <v>45693</v>
      </c>
      <c r="C54" t="s">
        <v>82</v>
      </c>
      <c r="D54" t="s">
        <v>15</v>
      </c>
      <c r="E54">
        <v>344</v>
      </c>
      <c r="F54">
        <v>8</v>
      </c>
      <c r="G54">
        <v>43</v>
      </c>
      <c r="H54">
        <v>309</v>
      </c>
      <c r="I54" t="s">
        <v>42</v>
      </c>
      <c r="J54">
        <v>2965</v>
      </c>
      <c r="K54">
        <v>127495</v>
      </c>
      <c r="L54">
        <v>12</v>
      </c>
      <c r="M54" t="s">
        <v>17</v>
      </c>
    </row>
    <row r="55" spans="1:13" x14ac:dyDescent="0.35">
      <c r="A55" t="s">
        <v>88</v>
      </c>
      <c r="B55" s="1">
        <v>45693</v>
      </c>
      <c r="C55" t="s">
        <v>82</v>
      </c>
      <c r="D55" t="s">
        <v>53</v>
      </c>
      <c r="E55">
        <v>299</v>
      </c>
      <c r="F55">
        <v>82</v>
      </c>
      <c r="G55">
        <v>21</v>
      </c>
      <c r="H55">
        <v>360</v>
      </c>
      <c r="I55" t="s">
        <v>16</v>
      </c>
      <c r="J55">
        <v>262</v>
      </c>
      <c r="K55">
        <v>5502</v>
      </c>
      <c r="L55">
        <v>20</v>
      </c>
      <c r="M55" t="s">
        <v>50</v>
      </c>
    </row>
    <row r="56" spans="1:13" x14ac:dyDescent="0.35">
      <c r="A56" t="s">
        <v>89</v>
      </c>
      <c r="B56" s="1">
        <v>45695</v>
      </c>
      <c r="C56" t="s">
        <v>82</v>
      </c>
      <c r="D56" t="s">
        <v>38</v>
      </c>
      <c r="E56">
        <v>500</v>
      </c>
      <c r="F56">
        <v>10</v>
      </c>
      <c r="G56">
        <v>20</v>
      </c>
      <c r="H56">
        <v>490</v>
      </c>
      <c r="I56" t="s">
        <v>20</v>
      </c>
      <c r="J56">
        <v>155</v>
      </c>
      <c r="K56">
        <v>3100</v>
      </c>
      <c r="L56">
        <v>30</v>
      </c>
      <c r="M56" t="s">
        <v>17</v>
      </c>
    </row>
    <row r="57" spans="1:13" x14ac:dyDescent="0.35">
      <c r="A57" t="s">
        <v>90</v>
      </c>
      <c r="B57" s="1">
        <v>45695</v>
      </c>
      <c r="C57" t="s">
        <v>82</v>
      </c>
      <c r="D57" t="s">
        <v>38</v>
      </c>
      <c r="E57">
        <v>335</v>
      </c>
      <c r="F57">
        <v>80</v>
      </c>
      <c r="G57">
        <v>43</v>
      </c>
      <c r="H57">
        <v>372</v>
      </c>
      <c r="I57" t="s">
        <v>42</v>
      </c>
      <c r="J57">
        <v>107</v>
      </c>
      <c r="K57">
        <v>4601</v>
      </c>
      <c r="L57">
        <v>30</v>
      </c>
      <c r="M57" t="s">
        <v>17</v>
      </c>
    </row>
    <row r="58" spans="1:13" x14ac:dyDescent="0.35">
      <c r="A58" t="s">
        <v>91</v>
      </c>
      <c r="B58" s="1">
        <v>45695</v>
      </c>
      <c r="C58" t="s">
        <v>82</v>
      </c>
      <c r="D58" t="s">
        <v>23</v>
      </c>
      <c r="E58">
        <v>269</v>
      </c>
      <c r="F58">
        <v>76</v>
      </c>
      <c r="G58">
        <v>30</v>
      </c>
      <c r="H58">
        <v>315</v>
      </c>
      <c r="I58" t="s">
        <v>16</v>
      </c>
      <c r="J58">
        <v>1792</v>
      </c>
      <c r="K58">
        <v>53760</v>
      </c>
      <c r="L58">
        <v>12</v>
      </c>
      <c r="M58" t="s">
        <v>50</v>
      </c>
    </row>
    <row r="59" spans="1:13" x14ac:dyDescent="0.35">
      <c r="A59" t="s">
        <v>92</v>
      </c>
      <c r="B59" s="1">
        <v>45695</v>
      </c>
      <c r="C59" t="s">
        <v>82</v>
      </c>
      <c r="D59" t="s">
        <v>15</v>
      </c>
      <c r="E59">
        <v>271</v>
      </c>
      <c r="F59">
        <v>22</v>
      </c>
      <c r="G59">
        <v>57</v>
      </c>
      <c r="H59">
        <v>236</v>
      </c>
      <c r="I59" t="s">
        <v>16</v>
      </c>
      <c r="J59">
        <v>2660</v>
      </c>
      <c r="K59">
        <v>151620</v>
      </c>
      <c r="L59">
        <v>12</v>
      </c>
      <c r="M59" t="s">
        <v>21</v>
      </c>
    </row>
    <row r="60" spans="1:13" x14ac:dyDescent="0.35">
      <c r="A60" t="s">
        <v>93</v>
      </c>
      <c r="B60" s="1">
        <v>45696</v>
      </c>
      <c r="C60" t="s">
        <v>82</v>
      </c>
      <c r="D60" t="s">
        <v>38</v>
      </c>
      <c r="E60">
        <v>364</v>
      </c>
      <c r="F60">
        <v>98</v>
      </c>
      <c r="G60">
        <v>5</v>
      </c>
      <c r="H60">
        <v>457</v>
      </c>
      <c r="I60" t="s">
        <v>33</v>
      </c>
      <c r="J60">
        <v>286</v>
      </c>
      <c r="K60">
        <v>1430</v>
      </c>
      <c r="L60">
        <v>30</v>
      </c>
      <c r="M60" t="s">
        <v>21</v>
      </c>
    </row>
    <row r="61" spans="1:13" x14ac:dyDescent="0.35">
      <c r="A61" t="s">
        <v>94</v>
      </c>
      <c r="B61" s="1">
        <v>45697</v>
      </c>
      <c r="C61" t="s">
        <v>82</v>
      </c>
      <c r="D61" t="s">
        <v>38</v>
      </c>
      <c r="E61">
        <v>107</v>
      </c>
      <c r="F61">
        <v>75</v>
      </c>
      <c r="G61">
        <v>14</v>
      </c>
      <c r="H61">
        <v>168</v>
      </c>
      <c r="I61" t="s">
        <v>16</v>
      </c>
      <c r="J61">
        <v>345</v>
      </c>
      <c r="K61">
        <v>4830</v>
      </c>
      <c r="L61">
        <v>30</v>
      </c>
      <c r="M61" t="s">
        <v>17</v>
      </c>
    </row>
    <row r="62" spans="1:13" x14ac:dyDescent="0.35">
      <c r="A62" t="s">
        <v>95</v>
      </c>
      <c r="B62" s="1">
        <v>45698</v>
      </c>
      <c r="C62" t="s">
        <v>82</v>
      </c>
      <c r="D62" t="s">
        <v>19</v>
      </c>
      <c r="E62">
        <v>301</v>
      </c>
      <c r="F62">
        <v>26</v>
      </c>
      <c r="G62">
        <v>51</v>
      </c>
      <c r="H62">
        <v>276</v>
      </c>
      <c r="I62" t="s">
        <v>33</v>
      </c>
      <c r="J62">
        <v>1018</v>
      </c>
      <c r="K62">
        <v>51918</v>
      </c>
      <c r="L62">
        <v>8</v>
      </c>
      <c r="M62" t="s">
        <v>21</v>
      </c>
    </row>
    <row r="63" spans="1:13" x14ac:dyDescent="0.35">
      <c r="A63" t="s">
        <v>96</v>
      </c>
      <c r="B63" s="1">
        <v>45699</v>
      </c>
      <c r="C63" t="s">
        <v>82</v>
      </c>
      <c r="D63" t="s">
        <v>53</v>
      </c>
      <c r="E63">
        <v>338</v>
      </c>
      <c r="F63">
        <v>84</v>
      </c>
      <c r="G63">
        <v>9</v>
      </c>
      <c r="H63">
        <v>413</v>
      </c>
      <c r="I63" t="s">
        <v>30</v>
      </c>
      <c r="J63">
        <v>608</v>
      </c>
      <c r="K63">
        <v>5472</v>
      </c>
      <c r="L63">
        <v>20</v>
      </c>
      <c r="M63" t="s">
        <v>50</v>
      </c>
    </row>
    <row r="64" spans="1:13" x14ac:dyDescent="0.35">
      <c r="A64" t="s">
        <v>97</v>
      </c>
      <c r="B64" s="1">
        <v>45699</v>
      </c>
      <c r="C64" t="s">
        <v>82</v>
      </c>
      <c r="D64" t="s">
        <v>45</v>
      </c>
      <c r="E64">
        <v>63</v>
      </c>
      <c r="F64">
        <v>82</v>
      </c>
      <c r="G64">
        <v>49</v>
      </c>
      <c r="H64">
        <v>96</v>
      </c>
      <c r="I64" t="s">
        <v>30</v>
      </c>
      <c r="J64">
        <v>5862</v>
      </c>
      <c r="K64">
        <v>287238</v>
      </c>
      <c r="L64">
        <v>8</v>
      </c>
      <c r="M64" t="s">
        <v>17</v>
      </c>
    </row>
    <row r="65" spans="1:13" x14ac:dyDescent="0.35">
      <c r="A65" t="s">
        <v>98</v>
      </c>
      <c r="B65" s="1">
        <v>45699</v>
      </c>
      <c r="C65" t="s">
        <v>82</v>
      </c>
      <c r="D65" t="s">
        <v>38</v>
      </c>
      <c r="E65">
        <v>346</v>
      </c>
      <c r="F65">
        <v>5</v>
      </c>
      <c r="G65">
        <v>56</v>
      </c>
      <c r="H65">
        <v>295</v>
      </c>
      <c r="I65" t="s">
        <v>30</v>
      </c>
      <c r="J65">
        <v>301</v>
      </c>
      <c r="K65">
        <v>16856</v>
      </c>
      <c r="L65">
        <v>30</v>
      </c>
      <c r="M65" t="s">
        <v>21</v>
      </c>
    </row>
    <row r="66" spans="1:13" x14ac:dyDescent="0.35">
      <c r="A66" t="s">
        <v>99</v>
      </c>
      <c r="B66" s="1">
        <v>45701</v>
      </c>
      <c r="C66" t="s">
        <v>82</v>
      </c>
      <c r="D66" t="s">
        <v>53</v>
      </c>
      <c r="E66">
        <v>298</v>
      </c>
      <c r="F66">
        <v>82</v>
      </c>
      <c r="G66">
        <v>11</v>
      </c>
      <c r="H66">
        <v>369</v>
      </c>
      <c r="I66" t="s">
        <v>42</v>
      </c>
      <c r="J66">
        <v>290</v>
      </c>
      <c r="K66">
        <v>3190</v>
      </c>
      <c r="L66">
        <v>20</v>
      </c>
      <c r="M66" t="s">
        <v>50</v>
      </c>
    </row>
    <row r="67" spans="1:13" x14ac:dyDescent="0.35">
      <c r="A67" t="s">
        <v>100</v>
      </c>
      <c r="B67" s="1">
        <v>45702</v>
      </c>
      <c r="C67" t="s">
        <v>82</v>
      </c>
      <c r="D67" t="s">
        <v>29</v>
      </c>
      <c r="E67">
        <v>342</v>
      </c>
      <c r="F67">
        <v>54</v>
      </c>
      <c r="G67">
        <v>2</v>
      </c>
      <c r="H67">
        <v>394</v>
      </c>
      <c r="I67" t="s">
        <v>20</v>
      </c>
      <c r="J67">
        <v>47</v>
      </c>
      <c r="K67">
        <v>94</v>
      </c>
      <c r="L67">
        <v>35</v>
      </c>
      <c r="M67" t="s">
        <v>17</v>
      </c>
    </row>
    <row r="68" spans="1:13" x14ac:dyDescent="0.35">
      <c r="A68" t="s">
        <v>101</v>
      </c>
      <c r="B68" s="1">
        <v>45702</v>
      </c>
      <c r="C68" t="s">
        <v>82</v>
      </c>
      <c r="D68" t="s">
        <v>55</v>
      </c>
      <c r="E68">
        <v>499</v>
      </c>
      <c r="F68">
        <v>12</v>
      </c>
      <c r="G68">
        <v>8</v>
      </c>
      <c r="H68">
        <v>503</v>
      </c>
      <c r="I68" t="s">
        <v>33</v>
      </c>
      <c r="J68">
        <v>1152</v>
      </c>
      <c r="K68">
        <v>9216</v>
      </c>
      <c r="L68">
        <v>10</v>
      </c>
      <c r="M68" t="s">
        <v>50</v>
      </c>
    </row>
    <row r="69" spans="1:13" x14ac:dyDescent="0.35">
      <c r="A69" t="s">
        <v>102</v>
      </c>
      <c r="B69" s="1">
        <v>45702</v>
      </c>
      <c r="C69" t="s">
        <v>82</v>
      </c>
      <c r="D69" t="s">
        <v>40</v>
      </c>
      <c r="E69">
        <v>73</v>
      </c>
      <c r="F69">
        <v>39</v>
      </c>
      <c r="G69">
        <v>25</v>
      </c>
      <c r="H69">
        <v>87</v>
      </c>
      <c r="I69" t="s">
        <v>33</v>
      </c>
      <c r="J69">
        <v>610</v>
      </c>
      <c r="K69">
        <v>15250</v>
      </c>
      <c r="L69">
        <v>25</v>
      </c>
      <c r="M69" t="s">
        <v>21</v>
      </c>
    </row>
    <row r="70" spans="1:13" x14ac:dyDescent="0.35">
      <c r="A70" t="s">
        <v>103</v>
      </c>
      <c r="B70" s="1">
        <v>45702</v>
      </c>
      <c r="C70" t="s">
        <v>82</v>
      </c>
      <c r="D70" t="s">
        <v>53</v>
      </c>
      <c r="E70">
        <v>323</v>
      </c>
      <c r="F70">
        <v>58</v>
      </c>
      <c r="G70">
        <v>0</v>
      </c>
      <c r="H70">
        <v>381</v>
      </c>
      <c r="I70" t="s">
        <v>42</v>
      </c>
      <c r="J70">
        <v>627</v>
      </c>
      <c r="K70">
        <v>0</v>
      </c>
      <c r="L70">
        <v>20</v>
      </c>
      <c r="M70" t="s">
        <v>50</v>
      </c>
    </row>
    <row r="71" spans="1:13" x14ac:dyDescent="0.35">
      <c r="A71" t="s">
        <v>104</v>
      </c>
      <c r="B71" s="1">
        <v>45703</v>
      </c>
      <c r="C71" t="s">
        <v>82</v>
      </c>
      <c r="D71" t="s">
        <v>38</v>
      </c>
      <c r="E71">
        <v>201</v>
      </c>
      <c r="F71">
        <v>32</v>
      </c>
      <c r="G71">
        <v>20</v>
      </c>
      <c r="H71">
        <v>213</v>
      </c>
      <c r="I71" t="s">
        <v>16</v>
      </c>
      <c r="J71">
        <v>139</v>
      </c>
      <c r="K71">
        <v>2780</v>
      </c>
      <c r="L71">
        <v>30</v>
      </c>
      <c r="M71" t="s">
        <v>17</v>
      </c>
    </row>
    <row r="72" spans="1:13" x14ac:dyDescent="0.35">
      <c r="A72" t="s">
        <v>105</v>
      </c>
      <c r="B72" s="1">
        <v>45704</v>
      </c>
      <c r="C72" t="s">
        <v>82</v>
      </c>
      <c r="D72" t="s">
        <v>45</v>
      </c>
      <c r="E72">
        <v>157</v>
      </c>
      <c r="F72">
        <v>86</v>
      </c>
      <c r="G72">
        <v>53</v>
      </c>
      <c r="H72">
        <v>190</v>
      </c>
      <c r="I72" t="s">
        <v>33</v>
      </c>
      <c r="J72">
        <v>5856</v>
      </c>
      <c r="K72">
        <v>310368</v>
      </c>
      <c r="L72">
        <v>8</v>
      </c>
      <c r="M72" t="s">
        <v>17</v>
      </c>
    </row>
    <row r="73" spans="1:13" x14ac:dyDescent="0.35">
      <c r="A73" t="s">
        <v>106</v>
      </c>
      <c r="B73" s="1">
        <v>45704</v>
      </c>
      <c r="C73" t="s">
        <v>82</v>
      </c>
      <c r="D73" t="s">
        <v>45</v>
      </c>
      <c r="E73">
        <v>241</v>
      </c>
      <c r="F73">
        <v>64</v>
      </c>
      <c r="G73">
        <v>29</v>
      </c>
      <c r="H73">
        <v>276</v>
      </c>
      <c r="I73" t="s">
        <v>42</v>
      </c>
      <c r="J73">
        <v>4486</v>
      </c>
      <c r="K73">
        <v>130094</v>
      </c>
      <c r="L73">
        <v>8</v>
      </c>
      <c r="M73" t="s">
        <v>27</v>
      </c>
    </row>
    <row r="74" spans="1:13" x14ac:dyDescent="0.35">
      <c r="A74" t="s">
        <v>107</v>
      </c>
      <c r="B74" s="1">
        <v>45705</v>
      </c>
      <c r="C74" t="s">
        <v>82</v>
      </c>
      <c r="D74" t="s">
        <v>26</v>
      </c>
      <c r="E74">
        <v>261</v>
      </c>
      <c r="F74">
        <v>12</v>
      </c>
      <c r="G74">
        <v>47</v>
      </c>
      <c r="H74">
        <v>226</v>
      </c>
      <c r="I74" t="s">
        <v>42</v>
      </c>
      <c r="J74">
        <v>3326</v>
      </c>
      <c r="K74">
        <v>156322</v>
      </c>
      <c r="L74">
        <v>15</v>
      </c>
      <c r="M74" t="s">
        <v>27</v>
      </c>
    </row>
    <row r="75" spans="1:13" x14ac:dyDescent="0.35">
      <c r="A75" t="s">
        <v>108</v>
      </c>
      <c r="B75" s="1">
        <v>45706</v>
      </c>
      <c r="C75" t="s">
        <v>82</v>
      </c>
      <c r="D75" t="s">
        <v>53</v>
      </c>
      <c r="E75">
        <v>325</v>
      </c>
      <c r="F75">
        <v>86</v>
      </c>
      <c r="G75">
        <v>24</v>
      </c>
      <c r="H75">
        <v>387</v>
      </c>
      <c r="I75" t="s">
        <v>30</v>
      </c>
      <c r="J75">
        <v>540</v>
      </c>
      <c r="K75">
        <v>12960</v>
      </c>
      <c r="L75">
        <v>20</v>
      </c>
      <c r="M75" t="s">
        <v>24</v>
      </c>
    </row>
    <row r="76" spans="1:13" x14ac:dyDescent="0.35">
      <c r="A76" t="s">
        <v>109</v>
      </c>
      <c r="B76" s="1">
        <v>45707</v>
      </c>
      <c r="C76" t="s">
        <v>82</v>
      </c>
      <c r="D76" t="s">
        <v>23</v>
      </c>
      <c r="E76">
        <v>223</v>
      </c>
      <c r="F76">
        <v>44</v>
      </c>
      <c r="G76">
        <v>38</v>
      </c>
      <c r="H76">
        <v>229</v>
      </c>
      <c r="I76" t="s">
        <v>20</v>
      </c>
      <c r="J76">
        <v>1141</v>
      </c>
      <c r="K76">
        <v>43358</v>
      </c>
      <c r="L76">
        <v>12</v>
      </c>
      <c r="M76" t="s">
        <v>50</v>
      </c>
    </row>
    <row r="77" spans="1:13" x14ac:dyDescent="0.35">
      <c r="A77" t="s">
        <v>110</v>
      </c>
      <c r="B77" s="1">
        <v>45707</v>
      </c>
      <c r="C77" t="s">
        <v>82</v>
      </c>
      <c r="D77" t="s">
        <v>26</v>
      </c>
      <c r="E77">
        <v>308</v>
      </c>
      <c r="F77">
        <v>19</v>
      </c>
      <c r="G77">
        <v>15</v>
      </c>
      <c r="H77">
        <v>312</v>
      </c>
      <c r="I77" t="s">
        <v>33</v>
      </c>
      <c r="J77">
        <v>2586</v>
      </c>
      <c r="K77">
        <v>38790</v>
      </c>
      <c r="L77">
        <v>15</v>
      </c>
      <c r="M77" t="s">
        <v>21</v>
      </c>
    </row>
    <row r="78" spans="1:13" x14ac:dyDescent="0.35">
      <c r="A78" t="s">
        <v>111</v>
      </c>
      <c r="B78" s="1">
        <v>45708</v>
      </c>
      <c r="C78" t="s">
        <v>82</v>
      </c>
      <c r="D78" t="s">
        <v>45</v>
      </c>
      <c r="E78">
        <v>172</v>
      </c>
      <c r="F78">
        <v>28</v>
      </c>
      <c r="G78">
        <v>32</v>
      </c>
      <c r="H78">
        <v>168</v>
      </c>
      <c r="I78" t="s">
        <v>33</v>
      </c>
      <c r="J78">
        <v>5624</v>
      </c>
      <c r="K78">
        <v>179968</v>
      </c>
      <c r="L78">
        <v>8</v>
      </c>
      <c r="M78" t="s">
        <v>17</v>
      </c>
    </row>
    <row r="79" spans="1:13" x14ac:dyDescent="0.35">
      <c r="A79" t="s">
        <v>112</v>
      </c>
      <c r="B79" s="1">
        <v>45708</v>
      </c>
      <c r="C79" t="s">
        <v>82</v>
      </c>
      <c r="D79" t="s">
        <v>45</v>
      </c>
      <c r="E79">
        <v>263</v>
      </c>
      <c r="F79">
        <v>29</v>
      </c>
      <c r="G79">
        <v>53</v>
      </c>
      <c r="H79">
        <v>239</v>
      </c>
      <c r="I79" t="s">
        <v>30</v>
      </c>
      <c r="J79">
        <v>3811</v>
      </c>
      <c r="K79">
        <v>201983</v>
      </c>
      <c r="L79">
        <v>8</v>
      </c>
      <c r="M79" t="s">
        <v>27</v>
      </c>
    </row>
    <row r="80" spans="1:13" x14ac:dyDescent="0.35">
      <c r="A80" t="s">
        <v>113</v>
      </c>
      <c r="B80" s="1">
        <v>45708</v>
      </c>
      <c r="C80" t="s">
        <v>82</v>
      </c>
      <c r="D80" t="s">
        <v>23</v>
      </c>
      <c r="E80">
        <v>429</v>
      </c>
      <c r="F80">
        <v>81</v>
      </c>
      <c r="G80">
        <v>45</v>
      </c>
      <c r="H80">
        <v>465</v>
      </c>
      <c r="I80" t="s">
        <v>16</v>
      </c>
      <c r="J80">
        <v>805</v>
      </c>
      <c r="K80">
        <v>36225</v>
      </c>
      <c r="L80">
        <v>12</v>
      </c>
      <c r="M80" t="s">
        <v>24</v>
      </c>
    </row>
    <row r="81" spans="1:13" x14ac:dyDescent="0.35">
      <c r="A81" t="s">
        <v>114</v>
      </c>
      <c r="B81" s="1">
        <v>45709</v>
      </c>
      <c r="C81" t="s">
        <v>82</v>
      </c>
      <c r="D81" t="s">
        <v>55</v>
      </c>
      <c r="E81">
        <v>234</v>
      </c>
      <c r="F81">
        <v>35</v>
      </c>
      <c r="G81">
        <v>29</v>
      </c>
      <c r="H81">
        <v>240</v>
      </c>
      <c r="I81" t="s">
        <v>30</v>
      </c>
      <c r="J81">
        <v>2201</v>
      </c>
      <c r="K81">
        <v>63829</v>
      </c>
      <c r="L81">
        <v>10</v>
      </c>
      <c r="M81" t="s">
        <v>17</v>
      </c>
    </row>
    <row r="82" spans="1:13" x14ac:dyDescent="0.35">
      <c r="A82" t="s">
        <v>115</v>
      </c>
      <c r="B82" s="1">
        <v>45709</v>
      </c>
      <c r="C82" t="s">
        <v>82</v>
      </c>
      <c r="D82" t="s">
        <v>38</v>
      </c>
      <c r="E82">
        <v>388</v>
      </c>
      <c r="F82">
        <v>98</v>
      </c>
      <c r="G82">
        <v>8</v>
      </c>
      <c r="H82">
        <v>478</v>
      </c>
      <c r="I82" t="s">
        <v>33</v>
      </c>
      <c r="J82">
        <v>82</v>
      </c>
      <c r="K82">
        <v>656</v>
      </c>
      <c r="L82">
        <v>30</v>
      </c>
      <c r="M82" t="s">
        <v>17</v>
      </c>
    </row>
    <row r="83" spans="1:13" x14ac:dyDescent="0.35">
      <c r="A83" t="s">
        <v>116</v>
      </c>
      <c r="B83" s="1">
        <v>45710</v>
      </c>
      <c r="C83" t="s">
        <v>82</v>
      </c>
      <c r="D83" t="s">
        <v>19</v>
      </c>
      <c r="E83">
        <v>107</v>
      </c>
      <c r="F83">
        <v>11</v>
      </c>
      <c r="G83">
        <v>11</v>
      </c>
      <c r="H83">
        <v>107</v>
      </c>
      <c r="I83" t="s">
        <v>16</v>
      </c>
      <c r="J83">
        <v>1582</v>
      </c>
      <c r="K83">
        <v>17402</v>
      </c>
      <c r="L83">
        <v>8</v>
      </c>
      <c r="M83" t="s">
        <v>21</v>
      </c>
    </row>
    <row r="84" spans="1:13" x14ac:dyDescent="0.35">
      <c r="A84" t="s">
        <v>117</v>
      </c>
      <c r="B84" s="1">
        <v>45710</v>
      </c>
      <c r="C84" t="s">
        <v>82</v>
      </c>
      <c r="D84" t="s">
        <v>53</v>
      </c>
      <c r="E84">
        <v>80</v>
      </c>
      <c r="F84">
        <v>41</v>
      </c>
      <c r="G84">
        <v>42</v>
      </c>
      <c r="H84">
        <v>79</v>
      </c>
      <c r="I84" t="s">
        <v>30</v>
      </c>
      <c r="J84">
        <v>552</v>
      </c>
      <c r="K84">
        <v>23184</v>
      </c>
      <c r="L84">
        <v>20</v>
      </c>
      <c r="M84" t="s">
        <v>50</v>
      </c>
    </row>
    <row r="85" spans="1:13" x14ac:dyDescent="0.35">
      <c r="A85" t="s">
        <v>118</v>
      </c>
      <c r="B85" s="1">
        <v>45712</v>
      </c>
      <c r="C85" t="s">
        <v>82</v>
      </c>
      <c r="D85" t="s">
        <v>29</v>
      </c>
      <c r="E85">
        <v>485</v>
      </c>
      <c r="F85">
        <v>80</v>
      </c>
      <c r="G85">
        <v>19</v>
      </c>
      <c r="H85">
        <v>546</v>
      </c>
      <c r="I85" t="s">
        <v>33</v>
      </c>
      <c r="J85">
        <v>203</v>
      </c>
      <c r="K85">
        <v>3857</v>
      </c>
      <c r="L85">
        <v>35</v>
      </c>
      <c r="M85" t="s">
        <v>17</v>
      </c>
    </row>
    <row r="86" spans="1:13" x14ac:dyDescent="0.35">
      <c r="A86" t="s">
        <v>119</v>
      </c>
      <c r="B86" s="1">
        <v>45712</v>
      </c>
      <c r="C86" t="s">
        <v>82</v>
      </c>
      <c r="D86" t="s">
        <v>53</v>
      </c>
      <c r="E86">
        <v>86</v>
      </c>
      <c r="F86">
        <v>0</v>
      </c>
      <c r="G86">
        <v>60</v>
      </c>
      <c r="H86">
        <v>26</v>
      </c>
      <c r="I86" t="s">
        <v>16</v>
      </c>
      <c r="J86">
        <v>565</v>
      </c>
      <c r="K86">
        <v>33900</v>
      </c>
      <c r="L86">
        <v>20</v>
      </c>
      <c r="M86" t="s">
        <v>50</v>
      </c>
    </row>
    <row r="87" spans="1:13" x14ac:dyDescent="0.35">
      <c r="A87" t="s">
        <v>120</v>
      </c>
      <c r="B87" s="1">
        <v>45712</v>
      </c>
      <c r="C87" t="s">
        <v>82</v>
      </c>
      <c r="D87" t="s">
        <v>23</v>
      </c>
      <c r="E87">
        <v>164</v>
      </c>
      <c r="F87">
        <v>55</v>
      </c>
      <c r="G87">
        <v>37</v>
      </c>
      <c r="H87">
        <v>182</v>
      </c>
      <c r="I87" t="s">
        <v>33</v>
      </c>
      <c r="J87">
        <v>1420</v>
      </c>
      <c r="K87">
        <v>52540</v>
      </c>
      <c r="L87">
        <v>12</v>
      </c>
      <c r="M87" t="s">
        <v>24</v>
      </c>
    </row>
    <row r="88" spans="1:13" x14ac:dyDescent="0.35">
      <c r="A88" t="s">
        <v>121</v>
      </c>
      <c r="B88" s="1">
        <v>45713</v>
      </c>
      <c r="C88" t="s">
        <v>82</v>
      </c>
      <c r="D88" t="s">
        <v>53</v>
      </c>
      <c r="E88">
        <v>167</v>
      </c>
      <c r="F88">
        <v>24</v>
      </c>
      <c r="G88">
        <v>12</v>
      </c>
      <c r="H88">
        <v>179</v>
      </c>
      <c r="I88" t="s">
        <v>16</v>
      </c>
      <c r="J88">
        <v>799</v>
      </c>
      <c r="K88">
        <v>9588</v>
      </c>
      <c r="L88">
        <v>20</v>
      </c>
      <c r="M88" t="s">
        <v>24</v>
      </c>
    </row>
    <row r="89" spans="1:13" x14ac:dyDescent="0.35">
      <c r="A89" t="s">
        <v>122</v>
      </c>
      <c r="B89" s="1">
        <v>45713</v>
      </c>
      <c r="C89" t="s">
        <v>82</v>
      </c>
      <c r="D89" t="s">
        <v>15</v>
      </c>
      <c r="E89">
        <v>355</v>
      </c>
      <c r="F89">
        <v>94</v>
      </c>
      <c r="G89">
        <v>37</v>
      </c>
      <c r="H89">
        <v>412</v>
      </c>
      <c r="I89" t="s">
        <v>42</v>
      </c>
      <c r="J89">
        <v>1690</v>
      </c>
      <c r="K89">
        <v>62530</v>
      </c>
      <c r="L89">
        <v>12</v>
      </c>
      <c r="M89" t="s">
        <v>21</v>
      </c>
    </row>
    <row r="90" spans="1:13" x14ac:dyDescent="0.35">
      <c r="A90" t="s">
        <v>123</v>
      </c>
      <c r="B90" s="1">
        <v>45713</v>
      </c>
      <c r="C90" t="s">
        <v>82</v>
      </c>
      <c r="D90" t="s">
        <v>40</v>
      </c>
      <c r="E90">
        <v>119</v>
      </c>
      <c r="F90">
        <v>13</v>
      </c>
      <c r="G90">
        <v>10</v>
      </c>
      <c r="H90">
        <v>122</v>
      </c>
      <c r="I90" t="s">
        <v>16</v>
      </c>
      <c r="J90">
        <v>580</v>
      </c>
      <c r="K90">
        <v>5800</v>
      </c>
      <c r="L90">
        <v>25</v>
      </c>
      <c r="M90" t="s">
        <v>21</v>
      </c>
    </row>
    <row r="91" spans="1:13" x14ac:dyDescent="0.35">
      <c r="A91" t="s">
        <v>124</v>
      </c>
      <c r="B91" s="1">
        <v>45713</v>
      </c>
      <c r="C91" t="s">
        <v>82</v>
      </c>
      <c r="D91" t="s">
        <v>19</v>
      </c>
      <c r="E91">
        <v>336</v>
      </c>
      <c r="F91">
        <v>3</v>
      </c>
      <c r="G91">
        <v>59</v>
      </c>
      <c r="H91">
        <v>280</v>
      </c>
      <c r="I91" t="s">
        <v>33</v>
      </c>
      <c r="J91">
        <v>1338</v>
      </c>
      <c r="K91">
        <v>78942</v>
      </c>
      <c r="L91">
        <v>8</v>
      </c>
      <c r="M91" t="s">
        <v>21</v>
      </c>
    </row>
    <row r="92" spans="1:13" x14ac:dyDescent="0.35">
      <c r="A92" t="s">
        <v>125</v>
      </c>
      <c r="B92" s="1">
        <v>45714</v>
      </c>
      <c r="C92" t="s">
        <v>82</v>
      </c>
      <c r="D92" t="s">
        <v>45</v>
      </c>
      <c r="E92">
        <v>118</v>
      </c>
      <c r="F92">
        <v>80</v>
      </c>
      <c r="G92">
        <v>10</v>
      </c>
      <c r="H92">
        <v>188</v>
      </c>
      <c r="I92" t="s">
        <v>16</v>
      </c>
      <c r="J92">
        <v>6287</v>
      </c>
      <c r="K92">
        <v>62870</v>
      </c>
      <c r="L92">
        <v>8</v>
      </c>
      <c r="M92" t="s">
        <v>17</v>
      </c>
    </row>
    <row r="93" spans="1:13" x14ac:dyDescent="0.35">
      <c r="A93" t="s">
        <v>126</v>
      </c>
      <c r="B93" s="1">
        <v>45716</v>
      </c>
      <c r="C93" t="s">
        <v>82</v>
      </c>
      <c r="D93" t="s">
        <v>40</v>
      </c>
      <c r="E93">
        <v>177</v>
      </c>
      <c r="F93">
        <v>99</v>
      </c>
      <c r="G93">
        <v>34</v>
      </c>
      <c r="H93">
        <v>242</v>
      </c>
      <c r="I93" t="s">
        <v>33</v>
      </c>
      <c r="J93">
        <v>495</v>
      </c>
      <c r="K93">
        <v>16830</v>
      </c>
      <c r="L93">
        <v>25</v>
      </c>
      <c r="M93" t="s">
        <v>27</v>
      </c>
    </row>
    <row r="94" spans="1:13" x14ac:dyDescent="0.35">
      <c r="A94" t="s">
        <v>127</v>
      </c>
      <c r="B94" s="1">
        <v>45716</v>
      </c>
      <c r="C94" t="s">
        <v>82</v>
      </c>
      <c r="D94" t="s">
        <v>40</v>
      </c>
      <c r="E94">
        <v>218</v>
      </c>
      <c r="F94">
        <v>45</v>
      </c>
      <c r="G94">
        <v>54</v>
      </c>
      <c r="H94">
        <v>209</v>
      </c>
      <c r="I94" t="s">
        <v>33</v>
      </c>
      <c r="J94">
        <v>588</v>
      </c>
      <c r="K94">
        <v>31752</v>
      </c>
      <c r="L94">
        <v>25</v>
      </c>
      <c r="M94" t="s">
        <v>27</v>
      </c>
    </row>
    <row r="95" spans="1:13" x14ac:dyDescent="0.35">
      <c r="A95" t="s">
        <v>128</v>
      </c>
      <c r="B95" s="1">
        <v>45717</v>
      </c>
      <c r="C95" t="s">
        <v>129</v>
      </c>
      <c r="D95" t="s">
        <v>38</v>
      </c>
      <c r="E95">
        <v>89</v>
      </c>
      <c r="F95">
        <v>30</v>
      </c>
      <c r="G95">
        <v>56</v>
      </c>
      <c r="H95">
        <v>63</v>
      </c>
      <c r="I95" t="s">
        <v>16</v>
      </c>
      <c r="J95">
        <v>149</v>
      </c>
      <c r="K95">
        <v>8344</v>
      </c>
      <c r="L95">
        <v>30</v>
      </c>
      <c r="M95" t="s">
        <v>21</v>
      </c>
    </row>
    <row r="96" spans="1:13" x14ac:dyDescent="0.35">
      <c r="A96" t="s">
        <v>130</v>
      </c>
      <c r="B96" s="1">
        <v>45718</v>
      </c>
      <c r="C96" t="s">
        <v>129</v>
      </c>
      <c r="D96" t="s">
        <v>53</v>
      </c>
      <c r="E96">
        <v>131</v>
      </c>
      <c r="F96">
        <v>68</v>
      </c>
      <c r="G96">
        <v>25</v>
      </c>
      <c r="H96">
        <v>174</v>
      </c>
      <c r="I96" t="s">
        <v>42</v>
      </c>
      <c r="J96">
        <v>791</v>
      </c>
      <c r="K96">
        <v>19775</v>
      </c>
      <c r="L96">
        <v>20</v>
      </c>
      <c r="M96" t="s">
        <v>24</v>
      </c>
    </row>
    <row r="97" spans="1:13" x14ac:dyDescent="0.35">
      <c r="A97" t="s">
        <v>131</v>
      </c>
      <c r="B97" s="1">
        <v>45719</v>
      </c>
      <c r="C97" t="s">
        <v>129</v>
      </c>
      <c r="D97" t="s">
        <v>23</v>
      </c>
      <c r="E97">
        <v>314</v>
      </c>
      <c r="F97">
        <v>45</v>
      </c>
      <c r="G97">
        <v>49</v>
      </c>
      <c r="H97">
        <v>310</v>
      </c>
      <c r="I97" t="s">
        <v>16</v>
      </c>
      <c r="J97">
        <v>1025</v>
      </c>
      <c r="K97">
        <v>50225</v>
      </c>
      <c r="L97">
        <v>12</v>
      </c>
      <c r="M97" t="s">
        <v>50</v>
      </c>
    </row>
    <row r="98" spans="1:13" x14ac:dyDescent="0.35">
      <c r="A98" t="s">
        <v>132</v>
      </c>
      <c r="B98" s="1">
        <v>45719</v>
      </c>
      <c r="C98" t="s">
        <v>129</v>
      </c>
      <c r="D98" t="s">
        <v>40</v>
      </c>
      <c r="E98">
        <v>447</v>
      </c>
      <c r="F98">
        <v>72</v>
      </c>
      <c r="G98">
        <v>50</v>
      </c>
      <c r="H98">
        <v>469</v>
      </c>
      <c r="I98" t="s">
        <v>30</v>
      </c>
      <c r="J98">
        <v>162</v>
      </c>
      <c r="K98">
        <v>8100</v>
      </c>
      <c r="L98">
        <v>25</v>
      </c>
      <c r="M98" t="s">
        <v>21</v>
      </c>
    </row>
    <row r="99" spans="1:13" x14ac:dyDescent="0.35">
      <c r="A99" t="s">
        <v>133</v>
      </c>
      <c r="B99" s="1">
        <v>45720</v>
      </c>
      <c r="C99" t="s">
        <v>129</v>
      </c>
      <c r="D99" t="s">
        <v>38</v>
      </c>
      <c r="E99">
        <v>54</v>
      </c>
      <c r="F99">
        <v>80</v>
      </c>
      <c r="G99">
        <v>38</v>
      </c>
      <c r="H99">
        <v>96</v>
      </c>
      <c r="I99" t="s">
        <v>42</v>
      </c>
      <c r="J99">
        <v>202</v>
      </c>
      <c r="K99">
        <v>7676</v>
      </c>
      <c r="L99">
        <v>30</v>
      </c>
      <c r="M99" t="s">
        <v>21</v>
      </c>
    </row>
    <row r="100" spans="1:13" x14ac:dyDescent="0.35">
      <c r="A100" t="s">
        <v>134</v>
      </c>
      <c r="B100" s="1">
        <v>45720</v>
      </c>
      <c r="C100" t="s">
        <v>129</v>
      </c>
      <c r="D100" t="s">
        <v>15</v>
      </c>
      <c r="E100">
        <v>46</v>
      </c>
      <c r="F100">
        <v>7</v>
      </c>
      <c r="G100">
        <v>53</v>
      </c>
      <c r="H100">
        <v>0</v>
      </c>
      <c r="I100" t="s">
        <v>42</v>
      </c>
      <c r="J100">
        <v>2799</v>
      </c>
      <c r="K100">
        <v>148347</v>
      </c>
      <c r="L100">
        <v>12</v>
      </c>
      <c r="M100" t="s">
        <v>21</v>
      </c>
    </row>
    <row r="101" spans="1:13" x14ac:dyDescent="0.35">
      <c r="A101" t="s">
        <v>135</v>
      </c>
      <c r="B101" s="1">
        <v>45720</v>
      </c>
      <c r="C101" t="s">
        <v>129</v>
      </c>
      <c r="D101" t="s">
        <v>53</v>
      </c>
      <c r="E101">
        <v>61</v>
      </c>
      <c r="F101">
        <v>59</v>
      </c>
      <c r="G101">
        <v>3</v>
      </c>
      <c r="H101">
        <v>117</v>
      </c>
      <c r="I101" t="s">
        <v>33</v>
      </c>
      <c r="J101">
        <v>422</v>
      </c>
      <c r="K101">
        <v>1266</v>
      </c>
      <c r="L101">
        <v>20</v>
      </c>
      <c r="M101" t="s">
        <v>50</v>
      </c>
    </row>
    <row r="102" spans="1:13" x14ac:dyDescent="0.35">
      <c r="A102" t="s">
        <v>136</v>
      </c>
      <c r="B102" s="1">
        <v>45720</v>
      </c>
      <c r="C102" t="s">
        <v>129</v>
      </c>
      <c r="D102" t="s">
        <v>19</v>
      </c>
      <c r="E102">
        <v>333</v>
      </c>
      <c r="F102">
        <v>86</v>
      </c>
      <c r="G102">
        <v>34</v>
      </c>
      <c r="H102">
        <v>385</v>
      </c>
      <c r="I102" t="s">
        <v>16</v>
      </c>
      <c r="J102">
        <v>1477</v>
      </c>
      <c r="K102">
        <v>50218</v>
      </c>
      <c r="L102">
        <v>8</v>
      </c>
      <c r="M102" t="s">
        <v>21</v>
      </c>
    </row>
    <row r="103" spans="1:13" x14ac:dyDescent="0.35">
      <c r="A103" t="s">
        <v>137</v>
      </c>
      <c r="B103" s="1">
        <v>45721</v>
      </c>
      <c r="C103" t="s">
        <v>129</v>
      </c>
      <c r="D103" t="s">
        <v>29</v>
      </c>
      <c r="E103">
        <v>233</v>
      </c>
      <c r="F103">
        <v>10</v>
      </c>
      <c r="G103">
        <v>35</v>
      </c>
      <c r="H103">
        <v>208</v>
      </c>
      <c r="I103" t="s">
        <v>33</v>
      </c>
      <c r="J103">
        <v>115</v>
      </c>
      <c r="K103">
        <v>4025</v>
      </c>
      <c r="L103">
        <v>35</v>
      </c>
      <c r="M103" t="s">
        <v>21</v>
      </c>
    </row>
    <row r="104" spans="1:13" x14ac:dyDescent="0.35">
      <c r="A104" t="s">
        <v>138</v>
      </c>
      <c r="B104" s="1">
        <v>45722</v>
      </c>
      <c r="C104" t="s">
        <v>129</v>
      </c>
      <c r="D104" t="s">
        <v>55</v>
      </c>
      <c r="E104">
        <v>282</v>
      </c>
      <c r="F104">
        <v>85</v>
      </c>
      <c r="G104">
        <v>7</v>
      </c>
      <c r="H104">
        <v>360</v>
      </c>
      <c r="I104" t="s">
        <v>42</v>
      </c>
      <c r="J104">
        <v>2055</v>
      </c>
      <c r="K104">
        <v>14385</v>
      </c>
      <c r="L104">
        <v>10</v>
      </c>
      <c r="M104" t="s">
        <v>50</v>
      </c>
    </row>
    <row r="105" spans="1:13" x14ac:dyDescent="0.35">
      <c r="A105" t="s">
        <v>139</v>
      </c>
      <c r="B105" s="1">
        <v>45722</v>
      </c>
      <c r="C105" t="s">
        <v>129</v>
      </c>
      <c r="D105" t="s">
        <v>55</v>
      </c>
      <c r="E105">
        <v>442</v>
      </c>
      <c r="F105">
        <v>72</v>
      </c>
      <c r="G105">
        <v>13</v>
      </c>
      <c r="H105">
        <v>501</v>
      </c>
      <c r="I105" t="s">
        <v>33</v>
      </c>
      <c r="J105">
        <v>1040</v>
      </c>
      <c r="K105">
        <v>13520</v>
      </c>
      <c r="L105">
        <v>10</v>
      </c>
      <c r="M105" t="s">
        <v>17</v>
      </c>
    </row>
    <row r="106" spans="1:13" x14ac:dyDescent="0.35">
      <c r="A106" t="s">
        <v>140</v>
      </c>
      <c r="B106" s="1">
        <v>45725</v>
      </c>
      <c r="C106" t="s">
        <v>129</v>
      </c>
      <c r="D106" t="s">
        <v>40</v>
      </c>
      <c r="E106">
        <v>345</v>
      </c>
      <c r="F106">
        <v>48</v>
      </c>
      <c r="G106">
        <v>9</v>
      </c>
      <c r="H106">
        <v>384</v>
      </c>
      <c r="I106" t="s">
        <v>42</v>
      </c>
      <c r="J106">
        <v>286</v>
      </c>
      <c r="K106">
        <v>2574</v>
      </c>
      <c r="L106">
        <v>25</v>
      </c>
      <c r="M106" t="s">
        <v>27</v>
      </c>
    </row>
    <row r="107" spans="1:13" x14ac:dyDescent="0.35">
      <c r="A107" t="s">
        <v>141</v>
      </c>
      <c r="B107" s="1">
        <v>45725</v>
      </c>
      <c r="C107" t="s">
        <v>129</v>
      </c>
      <c r="D107" t="s">
        <v>29</v>
      </c>
      <c r="E107">
        <v>410</v>
      </c>
      <c r="F107">
        <v>73</v>
      </c>
      <c r="G107">
        <v>36</v>
      </c>
      <c r="H107">
        <v>447</v>
      </c>
      <c r="I107" t="s">
        <v>42</v>
      </c>
      <c r="J107">
        <v>161</v>
      </c>
      <c r="K107">
        <v>5796</v>
      </c>
      <c r="L107">
        <v>35</v>
      </c>
      <c r="M107" t="s">
        <v>21</v>
      </c>
    </row>
    <row r="108" spans="1:13" x14ac:dyDescent="0.35">
      <c r="A108" t="s">
        <v>142</v>
      </c>
      <c r="B108" s="1">
        <v>45727</v>
      </c>
      <c r="C108" t="s">
        <v>129</v>
      </c>
      <c r="D108" t="s">
        <v>38</v>
      </c>
      <c r="E108">
        <v>139</v>
      </c>
      <c r="F108">
        <v>49</v>
      </c>
      <c r="G108">
        <v>35</v>
      </c>
      <c r="H108">
        <v>153</v>
      </c>
      <c r="I108" t="s">
        <v>16</v>
      </c>
      <c r="J108">
        <v>338</v>
      </c>
      <c r="K108">
        <v>11830</v>
      </c>
      <c r="L108">
        <v>30</v>
      </c>
      <c r="M108" t="s">
        <v>21</v>
      </c>
    </row>
    <row r="109" spans="1:13" x14ac:dyDescent="0.35">
      <c r="A109" t="s">
        <v>143</v>
      </c>
      <c r="B109" s="1">
        <v>45728</v>
      </c>
      <c r="C109" t="s">
        <v>129</v>
      </c>
      <c r="D109" t="s">
        <v>23</v>
      </c>
      <c r="E109">
        <v>254</v>
      </c>
      <c r="F109">
        <v>25</v>
      </c>
      <c r="G109">
        <v>41</v>
      </c>
      <c r="H109">
        <v>238</v>
      </c>
      <c r="I109" t="s">
        <v>42</v>
      </c>
      <c r="J109">
        <v>1676</v>
      </c>
      <c r="K109">
        <v>68716</v>
      </c>
      <c r="L109">
        <v>12</v>
      </c>
      <c r="M109" t="s">
        <v>24</v>
      </c>
    </row>
    <row r="110" spans="1:13" x14ac:dyDescent="0.35">
      <c r="A110" t="s">
        <v>144</v>
      </c>
      <c r="B110" s="1">
        <v>45728</v>
      </c>
      <c r="C110" t="s">
        <v>129</v>
      </c>
      <c r="D110" t="s">
        <v>55</v>
      </c>
      <c r="E110">
        <v>431</v>
      </c>
      <c r="F110">
        <v>32</v>
      </c>
      <c r="G110">
        <v>18</v>
      </c>
      <c r="H110">
        <v>445</v>
      </c>
      <c r="I110" t="s">
        <v>20</v>
      </c>
      <c r="J110">
        <v>1571</v>
      </c>
      <c r="K110">
        <v>28278</v>
      </c>
      <c r="L110">
        <v>10</v>
      </c>
      <c r="M110" t="s">
        <v>17</v>
      </c>
    </row>
    <row r="111" spans="1:13" x14ac:dyDescent="0.35">
      <c r="A111" t="s">
        <v>145</v>
      </c>
      <c r="B111" s="1">
        <v>45728</v>
      </c>
      <c r="C111" t="s">
        <v>129</v>
      </c>
      <c r="D111" t="s">
        <v>23</v>
      </c>
      <c r="E111">
        <v>471</v>
      </c>
      <c r="F111">
        <v>80</v>
      </c>
      <c r="G111">
        <v>14</v>
      </c>
      <c r="H111">
        <v>537</v>
      </c>
      <c r="I111" t="s">
        <v>42</v>
      </c>
      <c r="J111">
        <v>739</v>
      </c>
      <c r="K111">
        <v>10346</v>
      </c>
      <c r="L111">
        <v>12</v>
      </c>
      <c r="M111" t="s">
        <v>24</v>
      </c>
    </row>
    <row r="112" spans="1:13" x14ac:dyDescent="0.35">
      <c r="A112" t="s">
        <v>146</v>
      </c>
      <c r="B112" s="1">
        <v>45729</v>
      </c>
      <c r="C112" t="s">
        <v>129</v>
      </c>
      <c r="D112" t="s">
        <v>23</v>
      </c>
      <c r="E112">
        <v>444</v>
      </c>
      <c r="F112">
        <v>88</v>
      </c>
      <c r="G112">
        <v>46</v>
      </c>
      <c r="H112">
        <v>486</v>
      </c>
      <c r="I112" t="s">
        <v>33</v>
      </c>
      <c r="J112">
        <v>760</v>
      </c>
      <c r="K112">
        <v>34960</v>
      </c>
      <c r="L112">
        <v>12</v>
      </c>
      <c r="M112" t="s">
        <v>50</v>
      </c>
    </row>
    <row r="113" spans="1:13" x14ac:dyDescent="0.35">
      <c r="A113" t="s">
        <v>147</v>
      </c>
      <c r="B113" s="1">
        <v>45729</v>
      </c>
      <c r="C113" t="s">
        <v>129</v>
      </c>
      <c r="D113" t="s">
        <v>38</v>
      </c>
      <c r="E113">
        <v>364</v>
      </c>
      <c r="F113">
        <v>38</v>
      </c>
      <c r="G113">
        <v>15</v>
      </c>
      <c r="H113">
        <v>387</v>
      </c>
      <c r="I113" t="s">
        <v>42</v>
      </c>
      <c r="J113">
        <v>209</v>
      </c>
      <c r="K113">
        <v>3135</v>
      </c>
      <c r="L113">
        <v>30</v>
      </c>
      <c r="M113" t="s">
        <v>21</v>
      </c>
    </row>
    <row r="114" spans="1:13" x14ac:dyDescent="0.35">
      <c r="A114" t="s">
        <v>148</v>
      </c>
      <c r="B114" s="1">
        <v>45730</v>
      </c>
      <c r="C114" t="s">
        <v>129</v>
      </c>
      <c r="D114" t="s">
        <v>26</v>
      </c>
      <c r="E114">
        <v>419</v>
      </c>
      <c r="F114">
        <v>81</v>
      </c>
      <c r="G114">
        <v>1</v>
      </c>
      <c r="H114">
        <v>499</v>
      </c>
      <c r="I114" t="s">
        <v>33</v>
      </c>
      <c r="J114">
        <v>2175</v>
      </c>
      <c r="K114">
        <v>2175</v>
      </c>
      <c r="L114">
        <v>15</v>
      </c>
      <c r="M114" t="s">
        <v>27</v>
      </c>
    </row>
    <row r="115" spans="1:13" x14ac:dyDescent="0.35">
      <c r="A115" t="s">
        <v>149</v>
      </c>
      <c r="B115" s="1">
        <v>45731</v>
      </c>
      <c r="C115" t="s">
        <v>129</v>
      </c>
      <c r="D115" t="s">
        <v>19</v>
      </c>
      <c r="E115">
        <v>378</v>
      </c>
      <c r="F115">
        <v>66</v>
      </c>
      <c r="G115">
        <v>14</v>
      </c>
      <c r="H115">
        <v>430</v>
      </c>
      <c r="I115" t="s">
        <v>30</v>
      </c>
      <c r="J115">
        <v>1546</v>
      </c>
      <c r="K115">
        <v>21644</v>
      </c>
      <c r="L115">
        <v>8</v>
      </c>
      <c r="M115" t="s">
        <v>21</v>
      </c>
    </row>
    <row r="116" spans="1:13" x14ac:dyDescent="0.35">
      <c r="A116" t="s">
        <v>150</v>
      </c>
      <c r="B116" s="1">
        <v>45731</v>
      </c>
      <c r="C116" t="s">
        <v>129</v>
      </c>
      <c r="D116" t="s">
        <v>38</v>
      </c>
      <c r="E116">
        <v>175</v>
      </c>
      <c r="F116">
        <v>17</v>
      </c>
      <c r="G116">
        <v>15</v>
      </c>
      <c r="H116">
        <v>177</v>
      </c>
      <c r="I116" t="s">
        <v>33</v>
      </c>
      <c r="J116">
        <v>214</v>
      </c>
      <c r="K116">
        <v>3210</v>
      </c>
      <c r="L116">
        <v>30</v>
      </c>
      <c r="M116" t="s">
        <v>21</v>
      </c>
    </row>
    <row r="117" spans="1:13" x14ac:dyDescent="0.35">
      <c r="A117" t="s">
        <v>151</v>
      </c>
      <c r="B117" s="1">
        <v>45731</v>
      </c>
      <c r="C117" t="s">
        <v>129</v>
      </c>
      <c r="D117" t="s">
        <v>40</v>
      </c>
      <c r="E117">
        <v>200</v>
      </c>
      <c r="F117">
        <v>91</v>
      </c>
      <c r="G117">
        <v>20</v>
      </c>
      <c r="H117">
        <v>271</v>
      </c>
      <c r="I117" t="s">
        <v>16</v>
      </c>
      <c r="J117">
        <v>473</v>
      </c>
      <c r="K117">
        <v>9460</v>
      </c>
      <c r="L117">
        <v>25</v>
      </c>
      <c r="M117" t="s">
        <v>27</v>
      </c>
    </row>
    <row r="118" spans="1:13" x14ac:dyDescent="0.35">
      <c r="A118" t="s">
        <v>152</v>
      </c>
      <c r="B118" s="1">
        <v>45732</v>
      </c>
      <c r="C118" t="s">
        <v>129</v>
      </c>
      <c r="D118" t="s">
        <v>19</v>
      </c>
      <c r="E118">
        <v>106</v>
      </c>
      <c r="F118">
        <v>69</v>
      </c>
      <c r="G118">
        <v>16</v>
      </c>
      <c r="H118">
        <v>159</v>
      </c>
      <c r="I118" t="s">
        <v>20</v>
      </c>
      <c r="J118">
        <v>1057</v>
      </c>
      <c r="K118">
        <v>16912</v>
      </c>
      <c r="L118">
        <v>8</v>
      </c>
      <c r="M118" t="s">
        <v>50</v>
      </c>
    </row>
    <row r="119" spans="1:13" x14ac:dyDescent="0.35">
      <c r="A119" t="s">
        <v>153</v>
      </c>
      <c r="B119" s="1">
        <v>45734</v>
      </c>
      <c r="C119" t="s">
        <v>129</v>
      </c>
      <c r="D119" t="s">
        <v>23</v>
      </c>
      <c r="E119">
        <v>193</v>
      </c>
      <c r="F119">
        <v>48</v>
      </c>
      <c r="G119">
        <v>11</v>
      </c>
      <c r="H119">
        <v>230</v>
      </c>
      <c r="I119" t="s">
        <v>16</v>
      </c>
      <c r="J119">
        <v>1701</v>
      </c>
      <c r="K119">
        <v>18711</v>
      </c>
      <c r="L119">
        <v>12</v>
      </c>
      <c r="M119" t="s">
        <v>24</v>
      </c>
    </row>
    <row r="120" spans="1:13" x14ac:dyDescent="0.35">
      <c r="A120" t="s">
        <v>154</v>
      </c>
      <c r="B120" s="1">
        <v>45737</v>
      </c>
      <c r="C120" t="s">
        <v>129</v>
      </c>
      <c r="D120" t="s">
        <v>40</v>
      </c>
      <c r="E120">
        <v>161</v>
      </c>
      <c r="F120">
        <v>20</v>
      </c>
      <c r="G120">
        <v>51</v>
      </c>
      <c r="H120">
        <v>130</v>
      </c>
      <c r="I120" t="s">
        <v>16</v>
      </c>
      <c r="J120">
        <v>301</v>
      </c>
      <c r="K120">
        <v>15351</v>
      </c>
      <c r="L120">
        <v>25</v>
      </c>
      <c r="M120" t="s">
        <v>27</v>
      </c>
    </row>
    <row r="121" spans="1:13" x14ac:dyDescent="0.35">
      <c r="A121" t="s">
        <v>155</v>
      </c>
      <c r="B121" s="1">
        <v>45738</v>
      </c>
      <c r="C121" t="s">
        <v>129</v>
      </c>
      <c r="D121" t="s">
        <v>19</v>
      </c>
      <c r="E121">
        <v>264</v>
      </c>
      <c r="F121">
        <v>69</v>
      </c>
      <c r="G121">
        <v>45</v>
      </c>
      <c r="H121">
        <v>288</v>
      </c>
      <c r="I121" t="s">
        <v>33</v>
      </c>
      <c r="J121">
        <v>1319</v>
      </c>
      <c r="K121">
        <v>59355</v>
      </c>
      <c r="L121">
        <v>8</v>
      </c>
      <c r="M121" t="s">
        <v>50</v>
      </c>
    </row>
    <row r="122" spans="1:13" x14ac:dyDescent="0.35">
      <c r="A122" t="s">
        <v>156</v>
      </c>
      <c r="B122" s="1">
        <v>45738</v>
      </c>
      <c r="C122" t="s">
        <v>129</v>
      </c>
      <c r="D122" t="s">
        <v>26</v>
      </c>
      <c r="E122">
        <v>265</v>
      </c>
      <c r="F122">
        <v>58</v>
      </c>
      <c r="G122">
        <v>0</v>
      </c>
      <c r="H122">
        <v>323</v>
      </c>
      <c r="I122" t="s">
        <v>42</v>
      </c>
      <c r="J122">
        <v>3552</v>
      </c>
      <c r="K122">
        <v>0</v>
      </c>
      <c r="L122">
        <v>15</v>
      </c>
      <c r="M122" t="s">
        <v>27</v>
      </c>
    </row>
    <row r="123" spans="1:13" x14ac:dyDescent="0.35">
      <c r="A123" t="s">
        <v>157</v>
      </c>
      <c r="B123" s="1">
        <v>45738</v>
      </c>
      <c r="C123" t="s">
        <v>129</v>
      </c>
      <c r="D123" t="s">
        <v>45</v>
      </c>
      <c r="E123">
        <v>265</v>
      </c>
      <c r="F123">
        <v>53</v>
      </c>
      <c r="G123">
        <v>30</v>
      </c>
      <c r="H123">
        <v>288</v>
      </c>
      <c r="I123" t="s">
        <v>42</v>
      </c>
      <c r="J123">
        <v>5402</v>
      </c>
      <c r="K123">
        <v>162060</v>
      </c>
      <c r="L123">
        <v>8</v>
      </c>
      <c r="M123" t="s">
        <v>27</v>
      </c>
    </row>
    <row r="124" spans="1:13" x14ac:dyDescent="0.35">
      <c r="A124" t="s">
        <v>158</v>
      </c>
      <c r="B124" s="1">
        <v>45738</v>
      </c>
      <c r="C124" t="s">
        <v>129</v>
      </c>
      <c r="D124" t="s">
        <v>19</v>
      </c>
      <c r="E124">
        <v>404</v>
      </c>
      <c r="F124">
        <v>90</v>
      </c>
      <c r="G124">
        <v>59</v>
      </c>
      <c r="H124">
        <v>435</v>
      </c>
      <c r="I124" t="s">
        <v>42</v>
      </c>
      <c r="J124">
        <v>2134</v>
      </c>
      <c r="K124">
        <v>125906</v>
      </c>
      <c r="L124">
        <v>8</v>
      </c>
      <c r="M124" t="s">
        <v>21</v>
      </c>
    </row>
    <row r="125" spans="1:13" x14ac:dyDescent="0.35">
      <c r="A125" t="s">
        <v>159</v>
      </c>
      <c r="B125" s="1">
        <v>45739</v>
      </c>
      <c r="C125" t="s">
        <v>129</v>
      </c>
      <c r="D125" t="s">
        <v>55</v>
      </c>
      <c r="E125">
        <v>295</v>
      </c>
      <c r="F125">
        <v>65</v>
      </c>
      <c r="G125">
        <v>29</v>
      </c>
      <c r="H125">
        <v>331</v>
      </c>
      <c r="I125" t="s">
        <v>30</v>
      </c>
      <c r="J125">
        <v>1921</v>
      </c>
      <c r="K125">
        <v>55709</v>
      </c>
      <c r="L125">
        <v>10</v>
      </c>
      <c r="M125" t="s">
        <v>50</v>
      </c>
    </row>
    <row r="126" spans="1:13" x14ac:dyDescent="0.35">
      <c r="A126" t="s">
        <v>160</v>
      </c>
      <c r="B126" s="1">
        <v>45739</v>
      </c>
      <c r="C126" t="s">
        <v>129</v>
      </c>
      <c r="D126" t="s">
        <v>19</v>
      </c>
      <c r="E126">
        <v>487</v>
      </c>
      <c r="F126">
        <v>35</v>
      </c>
      <c r="G126">
        <v>5</v>
      </c>
      <c r="H126">
        <v>517</v>
      </c>
      <c r="I126" t="s">
        <v>30</v>
      </c>
      <c r="J126">
        <v>2040</v>
      </c>
      <c r="K126">
        <v>10200</v>
      </c>
      <c r="L126">
        <v>8</v>
      </c>
      <c r="M126" t="s">
        <v>21</v>
      </c>
    </row>
    <row r="127" spans="1:13" x14ac:dyDescent="0.35">
      <c r="A127" t="s">
        <v>161</v>
      </c>
      <c r="B127" s="1">
        <v>45740</v>
      </c>
      <c r="C127" t="s">
        <v>129</v>
      </c>
      <c r="D127" t="s">
        <v>26</v>
      </c>
      <c r="E127">
        <v>179</v>
      </c>
      <c r="F127">
        <v>57</v>
      </c>
      <c r="G127">
        <v>57</v>
      </c>
      <c r="H127">
        <v>179</v>
      </c>
      <c r="I127" t="s">
        <v>42</v>
      </c>
      <c r="J127">
        <v>3902</v>
      </c>
      <c r="K127">
        <v>222414</v>
      </c>
      <c r="L127">
        <v>15</v>
      </c>
      <c r="M127" t="s">
        <v>21</v>
      </c>
    </row>
    <row r="128" spans="1:13" x14ac:dyDescent="0.35">
      <c r="A128" t="s">
        <v>162</v>
      </c>
      <c r="B128" s="1">
        <v>45741</v>
      </c>
      <c r="C128" t="s">
        <v>129</v>
      </c>
      <c r="D128" t="s">
        <v>19</v>
      </c>
      <c r="E128">
        <v>328</v>
      </c>
      <c r="F128">
        <v>30</v>
      </c>
      <c r="G128">
        <v>36</v>
      </c>
      <c r="H128">
        <v>322</v>
      </c>
      <c r="I128" t="s">
        <v>33</v>
      </c>
      <c r="J128">
        <v>1496</v>
      </c>
      <c r="K128">
        <v>53856</v>
      </c>
      <c r="L128">
        <v>8</v>
      </c>
      <c r="M128" t="s">
        <v>21</v>
      </c>
    </row>
    <row r="129" spans="1:13" x14ac:dyDescent="0.35">
      <c r="A129" t="s">
        <v>163</v>
      </c>
      <c r="B129" s="1">
        <v>45742</v>
      </c>
      <c r="C129" t="s">
        <v>129</v>
      </c>
      <c r="D129" t="s">
        <v>19</v>
      </c>
      <c r="E129">
        <v>122</v>
      </c>
      <c r="F129">
        <v>41</v>
      </c>
      <c r="G129">
        <v>59</v>
      </c>
      <c r="H129">
        <v>104</v>
      </c>
      <c r="I129" t="s">
        <v>42</v>
      </c>
      <c r="J129">
        <v>2152</v>
      </c>
      <c r="K129">
        <v>126968</v>
      </c>
      <c r="L129">
        <v>8</v>
      </c>
      <c r="M129" t="s">
        <v>21</v>
      </c>
    </row>
    <row r="130" spans="1:13" x14ac:dyDescent="0.35">
      <c r="A130" t="s">
        <v>164</v>
      </c>
      <c r="B130" s="1">
        <v>45742</v>
      </c>
      <c r="C130" t="s">
        <v>129</v>
      </c>
      <c r="D130" t="s">
        <v>45</v>
      </c>
      <c r="E130">
        <v>445</v>
      </c>
      <c r="F130">
        <v>39</v>
      </c>
      <c r="G130">
        <v>38</v>
      </c>
      <c r="H130">
        <v>446</v>
      </c>
      <c r="I130" t="s">
        <v>30</v>
      </c>
      <c r="J130">
        <v>5831</v>
      </c>
      <c r="K130">
        <v>221578</v>
      </c>
      <c r="L130">
        <v>8</v>
      </c>
      <c r="M130" t="s">
        <v>27</v>
      </c>
    </row>
    <row r="131" spans="1:13" x14ac:dyDescent="0.35">
      <c r="A131" t="s">
        <v>165</v>
      </c>
      <c r="B131" s="1">
        <v>45742</v>
      </c>
      <c r="C131" t="s">
        <v>129</v>
      </c>
      <c r="D131" t="s">
        <v>23</v>
      </c>
      <c r="E131">
        <v>470</v>
      </c>
      <c r="F131">
        <v>59</v>
      </c>
      <c r="G131">
        <v>58</v>
      </c>
      <c r="H131">
        <v>471</v>
      </c>
      <c r="I131" t="s">
        <v>33</v>
      </c>
      <c r="J131">
        <v>861</v>
      </c>
      <c r="K131">
        <v>49938</v>
      </c>
      <c r="L131">
        <v>12</v>
      </c>
      <c r="M131" t="s">
        <v>24</v>
      </c>
    </row>
    <row r="132" spans="1:13" x14ac:dyDescent="0.35">
      <c r="A132" t="s">
        <v>166</v>
      </c>
      <c r="B132" s="1">
        <v>45747</v>
      </c>
      <c r="C132" t="s">
        <v>129</v>
      </c>
      <c r="D132" t="s">
        <v>15</v>
      </c>
      <c r="E132">
        <v>80</v>
      </c>
      <c r="F132">
        <v>78</v>
      </c>
      <c r="G132">
        <v>55</v>
      </c>
      <c r="H132">
        <v>103</v>
      </c>
      <c r="I132" t="s">
        <v>33</v>
      </c>
      <c r="J132">
        <v>1983</v>
      </c>
      <c r="K132">
        <v>109065</v>
      </c>
      <c r="L132">
        <v>12</v>
      </c>
      <c r="M132" t="s">
        <v>21</v>
      </c>
    </row>
    <row r="133" spans="1:13" x14ac:dyDescent="0.35">
      <c r="A133" t="s">
        <v>167</v>
      </c>
      <c r="B133" s="1">
        <v>45748</v>
      </c>
      <c r="C133" t="s">
        <v>168</v>
      </c>
      <c r="D133" t="s">
        <v>26</v>
      </c>
      <c r="E133">
        <v>435</v>
      </c>
      <c r="F133">
        <v>80</v>
      </c>
      <c r="G133">
        <v>31</v>
      </c>
      <c r="H133">
        <v>484</v>
      </c>
      <c r="I133" t="s">
        <v>33</v>
      </c>
      <c r="J133">
        <v>3700</v>
      </c>
      <c r="K133">
        <v>114700</v>
      </c>
      <c r="L133">
        <v>15</v>
      </c>
      <c r="M133" t="s">
        <v>21</v>
      </c>
    </row>
    <row r="134" spans="1:13" x14ac:dyDescent="0.35">
      <c r="A134" t="s">
        <v>169</v>
      </c>
      <c r="B134" s="1">
        <v>45748</v>
      </c>
      <c r="C134" t="s">
        <v>168</v>
      </c>
      <c r="D134" t="s">
        <v>55</v>
      </c>
      <c r="E134">
        <v>451</v>
      </c>
      <c r="F134">
        <v>89</v>
      </c>
      <c r="G134">
        <v>33</v>
      </c>
      <c r="H134">
        <v>507</v>
      </c>
      <c r="I134" t="s">
        <v>20</v>
      </c>
      <c r="J134">
        <v>1851</v>
      </c>
      <c r="K134">
        <v>61083</v>
      </c>
      <c r="L134">
        <v>10</v>
      </c>
      <c r="M134" t="s">
        <v>17</v>
      </c>
    </row>
    <row r="135" spans="1:13" x14ac:dyDescent="0.35">
      <c r="A135" t="s">
        <v>170</v>
      </c>
      <c r="B135" s="1">
        <v>45750</v>
      </c>
      <c r="C135" t="s">
        <v>168</v>
      </c>
      <c r="D135" t="s">
        <v>19</v>
      </c>
      <c r="E135">
        <v>339</v>
      </c>
      <c r="F135">
        <v>55</v>
      </c>
      <c r="G135">
        <v>40</v>
      </c>
      <c r="H135">
        <v>354</v>
      </c>
      <c r="I135" t="s">
        <v>20</v>
      </c>
      <c r="J135">
        <v>1707</v>
      </c>
      <c r="K135">
        <v>68280</v>
      </c>
      <c r="L135">
        <v>8</v>
      </c>
      <c r="M135" t="s">
        <v>21</v>
      </c>
    </row>
    <row r="136" spans="1:13" x14ac:dyDescent="0.35">
      <c r="A136" t="s">
        <v>171</v>
      </c>
      <c r="B136" s="1">
        <v>45751</v>
      </c>
      <c r="C136" t="s">
        <v>168</v>
      </c>
      <c r="D136" t="s">
        <v>38</v>
      </c>
      <c r="E136">
        <v>65</v>
      </c>
      <c r="F136">
        <v>33</v>
      </c>
      <c r="G136">
        <v>24</v>
      </c>
      <c r="H136">
        <v>74</v>
      </c>
      <c r="I136" t="s">
        <v>42</v>
      </c>
      <c r="J136">
        <v>247</v>
      </c>
      <c r="K136">
        <v>5928</v>
      </c>
      <c r="L136">
        <v>30</v>
      </c>
      <c r="M136" t="s">
        <v>21</v>
      </c>
    </row>
    <row r="137" spans="1:13" x14ac:dyDescent="0.35">
      <c r="A137" t="s">
        <v>172</v>
      </c>
      <c r="B137" s="1">
        <v>45751</v>
      </c>
      <c r="C137" t="s">
        <v>168</v>
      </c>
      <c r="D137" t="s">
        <v>23</v>
      </c>
      <c r="E137">
        <v>182</v>
      </c>
      <c r="F137">
        <v>59</v>
      </c>
      <c r="G137">
        <v>15</v>
      </c>
      <c r="H137">
        <v>226</v>
      </c>
      <c r="I137" t="s">
        <v>16</v>
      </c>
      <c r="J137">
        <v>754</v>
      </c>
      <c r="K137">
        <v>11310</v>
      </c>
      <c r="L137">
        <v>12</v>
      </c>
      <c r="M137" t="s">
        <v>24</v>
      </c>
    </row>
    <row r="138" spans="1:13" x14ac:dyDescent="0.35">
      <c r="A138" t="s">
        <v>173</v>
      </c>
      <c r="B138" s="1">
        <v>45753</v>
      </c>
      <c r="C138" t="s">
        <v>168</v>
      </c>
      <c r="D138" t="s">
        <v>38</v>
      </c>
      <c r="E138">
        <v>423</v>
      </c>
      <c r="F138">
        <v>37</v>
      </c>
      <c r="G138">
        <v>56</v>
      </c>
      <c r="H138">
        <v>404</v>
      </c>
      <c r="I138" t="s">
        <v>20</v>
      </c>
      <c r="J138">
        <v>99</v>
      </c>
      <c r="K138">
        <v>5544</v>
      </c>
      <c r="L138">
        <v>30</v>
      </c>
      <c r="M138" t="s">
        <v>21</v>
      </c>
    </row>
    <row r="139" spans="1:13" x14ac:dyDescent="0.35">
      <c r="A139" t="s">
        <v>174</v>
      </c>
      <c r="B139" s="1">
        <v>45753</v>
      </c>
      <c r="C139" t="s">
        <v>168</v>
      </c>
      <c r="D139" t="s">
        <v>29</v>
      </c>
      <c r="E139">
        <v>227</v>
      </c>
      <c r="F139">
        <v>41</v>
      </c>
      <c r="G139">
        <v>12</v>
      </c>
      <c r="H139">
        <v>256</v>
      </c>
      <c r="I139" t="s">
        <v>20</v>
      </c>
      <c r="J139">
        <v>157</v>
      </c>
      <c r="K139">
        <v>1884</v>
      </c>
      <c r="L139">
        <v>35</v>
      </c>
      <c r="M139" t="s">
        <v>21</v>
      </c>
    </row>
    <row r="140" spans="1:13" x14ac:dyDescent="0.35">
      <c r="A140" t="s">
        <v>175</v>
      </c>
      <c r="B140" s="1">
        <v>45753</v>
      </c>
      <c r="C140" t="s">
        <v>168</v>
      </c>
      <c r="D140" t="s">
        <v>55</v>
      </c>
      <c r="E140">
        <v>180</v>
      </c>
      <c r="F140">
        <v>35</v>
      </c>
      <c r="G140">
        <v>28</v>
      </c>
      <c r="H140">
        <v>187</v>
      </c>
      <c r="I140" t="s">
        <v>20</v>
      </c>
      <c r="J140">
        <v>1204</v>
      </c>
      <c r="K140">
        <v>33712</v>
      </c>
      <c r="L140">
        <v>10</v>
      </c>
      <c r="M140" t="s">
        <v>17</v>
      </c>
    </row>
    <row r="141" spans="1:13" x14ac:dyDescent="0.35">
      <c r="A141" t="s">
        <v>176</v>
      </c>
      <c r="B141" s="1">
        <v>45753</v>
      </c>
      <c r="C141" t="s">
        <v>168</v>
      </c>
      <c r="D141" t="s">
        <v>15</v>
      </c>
      <c r="E141">
        <v>201</v>
      </c>
      <c r="F141">
        <v>57</v>
      </c>
      <c r="G141">
        <v>39</v>
      </c>
      <c r="H141">
        <v>219</v>
      </c>
      <c r="I141" t="s">
        <v>30</v>
      </c>
      <c r="J141">
        <v>1309</v>
      </c>
      <c r="K141">
        <v>51051</v>
      </c>
      <c r="L141">
        <v>12</v>
      </c>
      <c r="M141" t="s">
        <v>21</v>
      </c>
    </row>
    <row r="142" spans="1:13" x14ac:dyDescent="0.35">
      <c r="A142" t="s">
        <v>177</v>
      </c>
      <c r="B142" s="1">
        <v>45754</v>
      </c>
      <c r="C142" t="s">
        <v>168</v>
      </c>
      <c r="D142" t="s">
        <v>19</v>
      </c>
      <c r="E142">
        <v>488</v>
      </c>
      <c r="F142">
        <v>92</v>
      </c>
      <c r="G142">
        <v>48</v>
      </c>
      <c r="H142">
        <v>532</v>
      </c>
      <c r="I142" t="s">
        <v>20</v>
      </c>
      <c r="J142">
        <v>931</v>
      </c>
      <c r="K142">
        <v>44688</v>
      </c>
      <c r="L142">
        <v>8</v>
      </c>
      <c r="M142" t="s">
        <v>21</v>
      </c>
    </row>
    <row r="143" spans="1:13" x14ac:dyDescent="0.35">
      <c r="A143" t="s">
        <v>178</v>
      </c>
      <c r="B143" s="1">
        <v>45755</v>
      </c>
      <c r="C143" t="s">
        <v>168</v>
      </c>
      <c r="D143" t="s">
        <v>23</v>
      </c>
      <c r="E143">
        <v>88</v>
      </c>
      <c r="F143">
        <v>12</v>
      </c>
      <c r="G143">
        <v>42</v>
      </c>
      <c r="H143">
        <v>58</v>
      </c>
      <c r="I143" t="s">
        <v>30</v>
      </c>
      <c r="J143">
        <v>1482</v>
      </c>
      <c r="K143">
        <v>62244</v>
      </c>
      <c r="L143">
        <v>12</v>
      </c>
      <c r="M143" t="s">
        <v>50</v>
      </c>
    </row>
    <row r="144" spans="1:13" x14ac:dyDescent="0.35">
      <c r="A144" t="s">
        <v>179</v>
      </c>
      <c r="B144" s="1">
        <v>45755</v>
      </c>
      <c r="C144" t="s">
        <v>168</v>
      </c>
      <c r="D144" t="s">
        <v>29</v>
      </c>
      <c r="E144">
        <v>83</v>
      </c>
      <c r="F144">
        <v>30</v>
      </c>
      <c r="G144">
        <v>46</v>
      </c>
      <c r="H144">
        <v>67</v>
      </c>
      <c r="I144" t="s">
        <v>16</v>
      </c>
      <c r="J144">
        <v>144</v>
      </c>
      <c r="K144">
        <v>6624</v>
      </c>
      <c r="L144">
        <v>35</v>
      </c>
      <c r="M144" t="s">
        <v>17</v>
      </c>
    </row>
    <row r="145" spans="1:13" x14ac:dyDescent="0.35">
      <c r="A145" t="s">
        <v>180</v>
      </c>
      <c r="B145" s="1">
        <v>45756</v>
      </c>
      <c r="C145" t="s">
        <v>168</v>
      </c>
      <c r="D145" t="s">
        <v>40</v>
      </c>
      <c r="E145">
        <v>400</v>
      </c>
      <c r="F145">
        <v>8</v>
      </c>
      <c r="G145">
        <v>2</v>
      </c>
      <c r="H145">
        <v>406</v>
      </c>
      <c r="I145" t="s">
        <v>30</v>
      </c>
      <c r="J145">
        <v>353</v>
      </c>
      <c r="K145">
        <v>706</v>
      </c>
      <c r="L145">
        <v>25</v>
      </c>
      <c r="M145" t="s">
        <v>27</v>
      </c>
    </row>
    <row r="146" spans="1:13" x14ac:dyDescent="0.35">
      <c r="A146" t="s">
        <v>181</v>
      </c>
      <c r="B146" s="1">
        <v>45756</v>
      </c>
      <c r="C146" t="s">
        <v>168</v>
      </c>
      <c r="D146" t="s">
        <v>38</v>
      </c>
      <c r="E146">
        <v>155</v>
      </c>
      <c r="F146">
        <v>17</v>
      </c>
      <c r="G146">
        <v>9</v>
      </c>
      <c r="H146">
        <v>163</v>
      </c>
      <c r="I146" t="s">
        <v>30</v>
      </c>
      <c r="J146">
        <v>119</v>
      </c>
      <c r="K146">
        <v>1071</v>
      </c>
      <c r="L146">
        <v>30</v>
      </c>
      <c r="M146" t="s">
        <v>17</v>
      </c>
    </row>
    <row r="147" spans="1:13" x14ac:dyDescent="0.35">
      <c r="A147" t="s">
        <v>182</v>
      </c>
      <c r="B147" s="1">
        <v>45758</v>
      </c>
      <c r="C147" t="s">
        <v>168</v>
      </c>
      <c r="D147" t="s">
        <v>15</v>
      </c>
      <c r="E147">
        <v>208</v>
      </c>
      <c r="F147">
        <v>29</v>
      </c>
      <c r="G147">
        <v>24</v>
      </c>
      <c r="H147">
        <v>213</v>
      </c>
      <c r="I147" t="s">
        <v>42</v>
      </c>
      <c r="J147">
        <v>2366</v>
      </c>
      <c r="K147">
        <v>56784</v>
      </c>
      <c r="L147">
        <v>12</v>
      </c>
      <c r="M147" t="s">
        <v>17</v>
      </c>
    </row>
    <row r="148" spans="1:13" x14ac:dyDescent="0.35">
      <c r="A148" t="s">
        <v>183</v>
      </c>
      <c r="B148" s="1">
        <v>45759</v>
      </c>
      <c r="C148" t="s">
        <v>168</v>
      </c>
      <c r="D148" t="s">
        <v>23</v>
      </c>
      <c r="E148">
        <v>78</v>
      </c>
      <c r="F148">
        <v>75</v>
      </c>
      <c r="G148">
        <v>44</v>
      </c>
      <c r="H148">
        <v>109</v>
      </c>
      <c r="I148" t="s">
        <v>20</v>
      </c>
      <c r="J148">
        <v>1097</v>
      </c>
      <c r="K148">
        <v>48268</v>
      </c>
      <c r="L148">
        <v>12</v>
      </c>
      <c r="M148" t="s">
        <v>50</v>
      </c>
    </row>
    <row r="149" spans="1:13" x14ac:dyDescent="0.35">
      <c r="A149" t="s">
        <v>184</v>
      </c>
      <c r="B149" s="1">
        <v>45760</v>
      </c>
      <c r="C149" t="s">
        <v>168</v>
      </c>
      <c r="D149" t="s">
        <v>15</v>
      </c>
      <c r="E149">
        <v>450</v>
      </c>
      <c r="F149">
        <v>77</v>
      </c>
      <c r="G149">
        <v>8</v>
      </c>
      <c r="H149">
        <v>519</v>
      </c>
      <c r="I149" t="s">
        <v>30</v>
      </c>
      <c r="J149">
        <v>2987</v>
      </c>
      <c r="K149">
        <v>23896</v>
      </c>
      <c r="L149">
        <v>12</v>
      </c>
      <c r="M149" t="s">
        <v>21</v>
      </c>
    </row>
    <row r="150" spans="1:13" x14ac:dyDescent="0.35">
      <c r="A150" t="s">
        <v>185</v>
      </c>
      <c r="B150" s="1">
        <v>45763</v>
      </c>
      <c r="C150" t="s">
        <v>168</v>
      </c>
      <c r="D150" t="s">
        <v>55</v>
      </c>
      <c r="E150">
        <v>452</v>
      </c>
      <c r="F150">
        <v>7</v>
      </c>
      <c r="G150">
        <v>36</v>
      </c>
      <c r="H150">
        <v>423</v>
      </c>
      <c r="I150" t="s">
        <v>33</v>
      </c>
      <c r="J150">
        <v>1618</v>
      </c>
      <c r="K150">
        <v>58248</v>
      </c>
      <c r="L150">
        <v>10</v>
      </c>
      <c r="M150" t="s">
        <v>50</v>
      </c>
    </row>
    <row r="151" spans="1:13" x14ac:dyDescent="0.35">
      <c r="A151" t="s">
        <v>186</v>
      </c>
      <c r="B151" s="1">
        <v>45766</v>
      </c>
      <c r="C151" t="s">
        <v>168</v>
      </c>
      <c r="D151" t="s">
        <v>26</v>
      </c>
      <c r="E151">
        <v>330</v>
      </c>
      <c r="F151">
        <v>91</v>
      </c>
      <c r="G151">
        <v>20</v>
      </c>
      <c r="H151">
        <v>401</v>
      </c>
      <c r="I151" t="s">
        <v>16</v>
      </c>
      <c r="J151">
        <v>2670</v>
      </c>
      <c r="K151">
        <v>53400</v>
      </c>
      <c r="L151">
        <v>15</v>
      </c>
      <c r="M151" t="s">
        <v>21</v>
      </c>
    </row>
    <row r="152" spans="1:13" x14ac:dyDescent="0.35">
      <c r="A152" t="s">
        <v>187</v>
      </c>
      <c r="B152" s="1">
        <v>45768</v>
      </c>
      <c r="C152" t="s">
        <v>168</v>
      </c>
      <c r="D152" t="s">
        <v>40</v>
      </c>
      <c r="E152">
        <v>456</v>
      </c>
      <c r="F152">
        <v>29</v>
      </c>
      <c r="G152">
        <v>21</v>
      </c>
      <c r="H152">
        <v>464</v>
      </c>
      <c r="I152" t="s">
        <v>33</v>
      </c>
      <c r="J152">
        <v>271</v>
      </c>
      <c r="K152">
        <v>5691</v>
      </c>
      <c r="L152">
        <v>25</v>
      </c>
      <c r="M152" t="s">
        <v>27</v>
      </c>
    </row>
    <row r="153" spans="1:13" x14ac:dyDescent="0.35">
      <c r="A153" t="s">
        <v>188</v>
      </c>
      <c r="B153" s="1">
        <v>45768</v>
      </c>
      <c r="C153" t="s">
        <v>168</v>
      </c>
      <c r="D153" t="s">
        <v>29</v>
      </c>
      <c r="E153">
        <v>260</v>
      </c>
      <c r="F153">
        <v>57</v>
      </c>
      <c r="G153">
        <v>56</v>
      </c>
      <c r="H153">
        <v>261</v>
      </c>
      <c r="I153" t="s">
        <v>16</v>
      </c>
      <c r="J153">
        <v>98</v>
      </c>
      <c r="K153">
        <v>5488</v>
      </c>
      <c r="L153">
        <v>35</v>
      </c>
      <c r="M153" t="s">
        <v>21</v>
      </c>
    </row>
    <row r="154" spans="1:13" x14ac:dyDescent="0.35">
      <c r="A154" t="s">
        <v>189</v>
      </c>
      <c r="B154" s="1">
        <v>45769</v>
      </c>
      <c r="C154" t="s">
        <v>168</v>
      </c>
      <c r="D154" t="s">
        <v>53</v>
      </c>
      <c r="E154">
        <v>267</v>
      </c>
      <c r="F154">
        <v>56</v>
      </c>
      <c r="G154">
        <v>60</v>
      </c>
      <c r="H154">
        <v>263</v>
      </c>
      <c r="I154" t="s">
        <v>30</v>
      </c>
      <c r="J154">
        <v>491</v>
      </c>
      <c r="K154">
        <v>29460</v>
      </c>
      <c r="L154">
        <v>20</v>
      </c>
      <c r="M154" t="s">
        <v>24</v>
      </c>
    </row>
    <row r="155" spans="1:13" x14ac:dyDescent="0.35">
      <c r="A155" t="s">
        <v>190</v>
      </c>
      <c r="B155" s="1">
        <v>45770</v>
      </c>
      <c r="C155" t="s">
        <v>168</v>
      </c>
      <c r="D155" t="s">
        <v>45</v>
      </c>
      <c r="E155">
        <v>242</v>
      </c>
      <c r="F155">
        <v>76</v>
      </c>
      <c r="G155">
        <v>3</v>
      </c>
      <c r="H155">
        <v>315</v>
      </c>
      <c r="I155" t="s">
        <v>42</v>
      </c>
      <c r="J155">
        <v>3531</v>
      </c>
      <c r="K155">
        <v>10593</v>
      </c>
      <c r="L155">
        <v>8</v>
      </c>
      <c r="M155" t="s">
        <v>27</v>
      </c>
    </row>
    <row r="156" spans="1:13" x14ac:dyDescent="0.35">
      <c r="A156" t="s">
        <v>191</v>
      </c>
      <c r="B156" s="1">
        <v>45770</v>
      </c>
      <c r="C156" t="s">
        <v>168</v>
      </c>
      <c r="D156" t="s">
        <v>38</v>
      </c>
      <c r="E156">
        <v>179</v>
      </c>
      <c r="F156">
        <v>55</v>
      </c>
      <c r="G156">
        <v>31</v>
      </c>
      <c r="H156">
        <v>203</v>
      </c>
      <c r="I156" t="s">
        <v>16</v>
      </c>
      <c r="J156">
        <v>94</v>
      </c>
      <c r="K156">
        <v>2914</v>
      </c>
      <c r="L156">
        <v>30</v>
      </c>
      <c r="M156" t="s">
        <v>21</v>
      </c>
    </row>
    <row r="157" spans="1:13" x14ac:dyDescent="0.35">
      <c r="A157" t="s">
        <v>192</v>
      </c>
      <c r="B157" s="1">
        <v>45770</v>
      </c>
      <c r="C157" t="s">
        <v>168</v>
      </c>
      <c r="D157" t="s">
        <v>40</v>
      </c>
      <c r="E157">
        <v>43</v>
      </c>
      <c r="F157">
        <v>9</v>
      </c>
      <c r="G157">
        <v>45</v>
      </c>
      <c r="H157">
        <v>7</v>
      </c>
      <c r="I157" t="s">
        <v>42</v>
      </c>
      <c r="J157">
        <v>180</v>
      </c>
      <c r="K157">
        <v>8100</v>
      </c>
      <c r="L157">
        <v>25</v>
      </c>
      <c r="M157" t="s">
        <v>27</v>
      </c>
    </row>
    <row r="158" spans="1:13" x14ac:dyDescent="0.35">
      <c r="A158" t="s">
        <v>193</v>
      </c>
      <c r="B158" s="1">
        <v>45771</v>
      </c>
      <c r="C158" t="s">
        <v>168</v>
      </c>
      <c r="D158" t="s">
        <v>26</v>
      </c>
      <c r="E158">
        <v>458</v>
      </c>
      <c r="F158">
        <v>57</v>
      </c>
      <c r="G158">
        <v>56</v>
      </c>
      <c r="H158">
        <v>459</v>
      </c>
      <c r="I158" t="s">
        <v>20</v>
      </c>
      <c r="J158">
        <v>3231</v>
      </c>
      <c r="K158">
        <v>180936</v>
      </c>
      <c r="L158">
        <v>15</v>
      </c>
      <c r="M158" t="s">
        <v>21</v>
      </c>
    </row>
    <row r="159" spans="1:13" x14ac:dyDescent="0.35">
      <c r="A159" t="s">
        <v>194</v>
      </c>
      <c r="B159" s="1">
        <v>45772</v>
      </c>
      <c r="C159" t="s">
        <v>168</v>
      </c>
      <c r="D159" t="s">
        <v>29</v>
      </c>
      <c r="E159">
        <v>102</v>
      </c>
      <c r="F159">
        <v>25</v>
      </c>
      <c r="G159">
        <v>50</v>
      </c>
      <c r="H159">
        <v>77</v>
      </c>
      <c r="I159" t="s">
        <v>42</v>
      </c>
      <c r="J159">
        <v>75</v>
      </c>
      <c r="K159">
        <v>3750</v>
      </c>
      <c r="L159">
        <v>35</v>
      </c>
      <c r="M159" t="s">
        <v>21</v>
      </c>
    </row>
    <row r="160" spans="1:13" x14ac:dyDescent="0.35">
      <c r="A160" t="s">
        <v>195</v>
      </c>
      <c r="B160" s="1">
        <v>45773</v>
      </c>
      <c r="C160" t="s">
        <v>168</v>
      </c>
      <c r="D160" t="s">
        <v>29</v>
      </c>
      <c r="E160">
        <v>366</v>
      </c>
      <c r="F160">
        <v>29</v>
      </c>
      <c r="G160">
        <v>3</v>
      </c>
      <c r="H160">
        <v>392</v>
      </c>
      <c r="I160" t="s">
        <v>16</v>
      </c>
      <c r="J160">
        <v>65</v>
      </c>
      <c r="K160">
        <v>195</v>
      </c>
      <c r="L160">
        <v>35</v>
      </c>
      <c r="M160" t="s">
        <v>21</v>
      </c>
    </row>
    <row r="161" spans="1:13" x14ac:dyDescent="0.35">
      <c r="A161" t="s">
        <v>196</v>
      </c>
      <c r="B161" s="1">
        <v>45773</v>
      </c>
      <c r="C161" t="s">
        <v>168</v>
      </c>
      <c r="D161" t="s">
        <v>15</v>
      </c>
      <c r="E161">
        <v>480</v>
      </c>
      <c r="F161">
        <v>86</v>
      </c>
      <c r="G161">
        <v>46</v>
      </c>
      <c r="H161">
        <v>520</v>
      </c>
      <c r="I161" t="s">
        <v>16</v>
      </c>
      <c r="J161">
        <v>2581</v>
      </c>
      <c r="K161">
        <v>118726</v>
      </c>
      <c r="L161">
        <v>12</v>
      </c>
      <c r="M161" t="s">
        <v>17</v>
      </c>
    </row>
    <row r="162" spans="1:13" x14ac:dyDescent="0.35">
      <c r="A162" t="s">
        <v>197</v>
      </c>
      <c r="B162" s="1">
        <v>45773</v>
      </c>
      <c r="C162" t="s">
        <v>168</v>
      </c>
      <c r="D162" t="s">
        <v>19</v>
      </c>
      <c r="E162">
        <v>452</v>
      </c>
      <c r="F162">
        <v>25</v>
      </c>
      <c r="G162">
        <v>9</v>
      </c>
      <c r="H162">
        <v>468</v>
      </c>
      <c r="I162" t="s">
        <v>20</v>
      </c>
      <c r="J162">
        <v>750</v>
      </c>
      <c r="K162">
        <v>6750</v>
      </c>
      <c r="L162">
        <v>8</v>
      </c>
      <c r="M162" t="s">
        <v>50</v>
      </c>
    </row>
    <row r="163" spans="1:13" x14ac:dyDescent="0.35">
      <c r="A163" t="s">
        <v>198</v>
      </c>
      <c r="B163" s="1">
        <v>45774</v>
      </c>
      <c r="C163" t="s">
        <v>168</v>
      </c>
      <c r="D163" t="s">
        <v>19</v>
      </c>
      <c r="E163">
        <v>224</v>
      </c>
      <c r="F163">
        <v>22</v>
      </c>
      <c r="G163">
        <v>19</v>
      </c>
      <c r="H163">
        <v>227</v>
      </c>
      <c r="I163" t="s">
        <v>33</v>
      </c>
      <c r="J163">
        <v>728</v>
      </c>
      <c r="K163">
        <v>13832</v>
      </c>
      <c r="L163">
        <v>8</v>
      </c>
      <c r="M163" t="s">
        <v>50</v>
      </c>
    </row>
    <row r="164" spans="1:13" x14ac:dyDescent="0.35">
      <c r="A164" t="s">
        <v>199</v>
      </c>
      <c r="B164" s="1">
        <v>45775</v>
      </c>
      <c r="C164" t="s">
        <v>168</v>
      </c>
      <c r="D164" t="s">
        <v>26</v>
      </c>
      <c r="E164">
        <v>236</v>
      </c>
      <c r="F164">
        <v>11</v>
      </c>
      <c r="G164">
        <v>46</v>
      </c>
      <c r="H164">
        <v>201</v>
      </c>
      <c r="I164" t="s">
        <v>20</v>
      </c>
      <c r="J164">
        <v>2219</v>
      </c>
      <c r="K164">
        <v>102074</v>
      </c>
      <c r="L164">
        <v>15</v>
      </c>
      <c r="M164" t="s">
        <v>21</v>
      </c>
    </row>
    <row r="165" spans="1:13" x14ac:dyDescent="0.35">
      <c r="A165" t="s">
        <v>200</v>
      </c>
      <c r="B165" s="1">
        <v>45776</v>
      </c>
      <c r="C165" t="s">
        <v>168</v>
      </c>
      <c r="D165" t="s">
        <v>45</v>
      </c>
      <c r="E165">
        <v>499</v>
      </c>
      <c r="F165">
        <v>66</v>
      </c>
      <c r="G165">
        <v>26</v>
      </c>
      <c r="H165">
        <v>539</v>
      </c>
      <c r="I165" t="s">
        <v>30</v>
      </c>
      <c r="J165">
        <v>6370</v>
      </c>
      <c r="K165">
        <v>165620</v>
      </c>
      <c r="L165">
        <v>8</v>
      </c>
      <c r="M165" t="s">
        <v>27</v>
      </c>
    </row>
    <row r="166" spans="1:13" x14ac:dyDescent="0.35">
      <c r="A166" t="s">
        <v>201</v>
      </c>
      <c r="B166" s="1">
        <v>45776</v>
      </c>
      <c r="C166" t="s">
        <v>168</v>
      </c>
      <c r="D166" t="s">
        <v>45</v>
      </c>
      <c r="E166">
        <v>187</v>
      </c>
      <c r="F166">
        <v>90</v>
      </c>
      <c r="G166">
        <v>18</v>
      </c>
      <c r="H166">
        <v>259</v>
      </c>
      <c r="I166" t="s">
        <v>16</v>
      </c>
      <c r="J166">
        <v>6379</v>
      </c>
      <c r="K166">
        <v>114822</v>
      </c>
      <c r="L166">
        <v>8</v>
      </c>
      <c r="M166" t="s">
        <v>17</v>
      </c>
    </row>
    <row r="167" spans="1:13" x14ac:dyDescent="0.35">
      <c r="A167" t="s">
        <v>202</v>
      </c>
      <c r="B167" s="1">
        <v>45776</v>
      </c>
      <c r="C167" t="s">
        <v>168</v>
      </c>
      <c r="D167" t="s">
        <v>38</v>
      </c>
      <c r="E167">
        <v>448</v>
      </c>
      <c r="F167">
        <v>51</v>
      </c>
      <c r="G167">
        <v>40</v>
      </c>
      <c r="H167">
        <v>459</v>
      </c>
      <c r="I167" t="s">
        <v>42</v>
      </c>
      <c r="J167">
        <v>174</v>
      </c>
      <c r="K167">
        <v>6960</v>
      </c>
      <c r="L167">
        <v>30</v>
      </c>
      <c r="M167" t="s">
        <v>21</v>
      </c>
    </row>
    <row r="168" spans="1:13" x14ac:dyDescent="0.35">
      <c r="A168" t="s">
        <v>203</v>
      </c>
      <c r="B168" s="1">
        <v>45777</v>
      </c>
      <c r="C168" t="s">
        <v>168</v>
      </c>
      <c r="D168" t="s">
        <v>38</v>
      </c>
      <c r="E168">
        <v>313</v>
      </c>
      <c r="F168">
        <v>30</v>
      </c>
      <c r="G168">
        <v>19</v>
      </c>
      <c r="H168">
        <v>324</v>
      </c>
      <c r="I168" t="s">
        <v>42</v>
      </c>
      <c r="J168">
        <v>320</v>
      </c>
      <c r="K168">
        <v>6080</v>
      </c>
      <c r="L168">
        <v>30</v>
      </c>
      <c r="M168" t="s">
        <v>21</v>
      </c>
    </row>
    <row r="169" spans="1:13" x14ac:dyDescent="0.35">
      <c r="A169" t="s">
        <v>204</v>
      </c>
      <c r="B169" s="1">
        <v>45778</v>
      </c>
      <c r="C169" t="s">
        <v>205</v>
      </c>
      <c r="D169" t="s">
        <v>15</v>
      </c>
      <c r="E169">
        <v>92</v>
      </c>
      <c r="F169">
        <v>18</v>
      </c>
      <c r="G169">
        <v>16</v>
      </c>
      <c r="H169">
        <v>94</v>
      </c>
      <c r="I169" t="s">
        <v>42</v>
      </c>
      <c r="J169">
        <v>1604</v>
      </c>
      <c r="K169">
        <v>25664</v>
      </c>
      <c r="L169">
        <v>12</v>
      </c>
      <c r="M169" t="s">
        <v>21</v>
      </c>
    </row>
    <row r="170" spans="1:13" x14ac:dyDescent="0.35">
      <c r="A170" t="s">
        <v>206</v>
      </c>
      <c r="B170" s="1">
        <v>45779</v>
      </c>
      <c r="C170" t="s">
        <v>205</v>
      </c>
      <c r="D170" t="s">
        <v>29</v>
      </c>
      <c r="E170">
        <v>254</v>
      </c>
      <c r="F170">
        <v>62</v>
      </c>
      <c r="G170">
        <v>3</v>
      </c>
      <c r="H170">
        <v>313</v>
      </c>
      <c r="I170" t="s">
        <v>30</v>
      </c>
      <c r="J170">
        <v>76</v>
      </c>
      <c r="K170">
        <v>228</v>
      </c>
      <c r="L170">
        <v>35</v>
      </c>
      <c r="M170" t="s">
        <v>17</v>
      </c>
    </row>
    <row r="171" spans="1:13" x14ac:dyDescent="0.35">
      <c r="A171" t="s">
        <v>207</v>
      </c>
      <c r="B171" s="1">
        <v>45780</v>
      </c>
      <c r="C171" t="s">
        <v>205</v>
      </c>
      <c r="D171" t="s">
        <v>53</v>
      </c>
      <c r="E171">
        <v>175</v>
      </c>
      <c r="F171">
        <v>50</v>
      </c>
      <c r="G171">
        <v>8</v>
      </c>
      <c r="H171">
        <v>217</v>
      </c>
      <c r="I171" t="s">
        <v>16</v>
      </c>
      <c r="J171">
        <v>557</v>
      </c>
      <c r="K171">
        <v>4456</v>
      </c>
      <c r="L171">
        <v>20</v>
      </c>
      <c r="M171" t="s">
        <v>50</v>
      </c>
    </row>
    <row r="172" spans="1:13" x14ac:dyDescent="0.35">
      <c r="A172" t="s">
        <v>208</v>
      </c>
      <c r="B172" s="1">
        <v>45781</v>
      </c>
      <c r="C172" t="s">
        <v>205</v>
      </c>
      <c r="D172" t="s">
        <v>45</v>
      </c>
      <c r="E172">
        <v>489</v>
      </c>
      <c r="F172">
        <v>72</v>
      </c>
      <c r="G172">
        <v>60</v>
      </c>
      <c r="H172">
        <v>501</v>
      </c>
      <c r="I172" t="s">
        <v>20</v>
      </c>
      <c r="J172">
        <v>3822</v>
      </c>
      <c r="K172">
        <v>229320</v>
      </c>
      <c r="L172">
        <v>8</v>
      </c>
      <c r="M172" t="s">
        <v>27</v>
      </c>
    </row>
    <row r="173" spans="1:13" x14ac:dyDescent="0.35">
      <c r="A173" t="s">
        <v>209</v>
      </c>
      <c r="B173" s="1">
        <v>45782</v>
      </c>
      <c r="C173" t="s">
        <v>205</v>
      </c>
      <c r="D173" t="s">
        <v>40</v>
      </c>
      <c r="E173">
        <v>396</v>
      </c>
      <c r="F173">
        <v>28</v>
      </c>
      <c r="G173">
        <v>19</v>
      </c>
      <c r="H173">
        <v>405</v>
      </c>
      <c r="I173" t="s">
        <v>20</v>
      </c>
      <c r="J173">
        <v>202</v>
      </c>
      <c r="K173">
        <v>3838</v>
      </c>
      <c r="L173">
        <v>25</v>
      </c>
      <c r="M173" t="s">
        <v>27</v>
      </c>
    </row>
    <row r="174" spans="1:13" x14ac:dyDescent="0.35">
      <c r="A174" t="s">
        <v>210</v>
      </c>
      <c r="B174" s="1">
        <v>45782</v>
      </c>
      <c r="C174" t="s">
        <v>205</v>
      </c>
      <c r="D174" t="s">
        <v>15</v>
      </c>
      <c r="E174">
        <v>304</v>
      </c>
      <c r="F174">
        <v>22</v>
      </c>
      <c r="G174">
        <v>35</v>
      </c>
      <c r="H174">
        <v>291</v>
      </c>
      <c r="I174" t="s">
        <v>30</v>
      </c>
      <c r="J174">
        <v>1527</v>
      </c>
      <c r="K174">
        <v>53445</v>
      </c>
      <c r="L174">
        <v>12</v>
      </c>
      <c r="M174" t="s">
        <v>17</v>
      </c>
    </row>
    <row r="175" spans="1:13" x14ac:dyDescent="0.35">
      <c r="A175" t="s">
        <v>211</v>
      </c>
      <c r="B175" s="1">
        <v>45783</v>
      </c>
      <c r="C175" t="s">
        <v>205</v>
      </c>
      <c r="D175" t="s">
        <v>29</v>
      </c>
      <c r="E175">
        <v>123</v>
      </c>
      <c r="F175">
        <v>59</v>
      </c>
      <c r="G175">
        <v>24</v>
      </c>
      <c r="H175">
        <v>158</v>
      </c>
      <c r="I175" t="s">
        <v>33</v>
      </c>
      <c r="J175">
        <v>109</v>
      </c>
      <c r="K175">
        <v>2616</v>
      </c>
      <c r="L175">
        <v>35</v>
      </c>
      <c r="M175" t="s">
        <v>17</v>
      </c>
    </row>
    <row r="176" spans="1:13" x14ac:dyDescent="0.35">
      <c r="A176" t="s">
        <v>212</v>
      </c>
      <c r="B176" s="1">
        <v>45784</v>
      </c>
      <c r="C176" t="s">
        <v>205</v>
      </c>
      <c r="D176" t="s">
        <v>26</v>
      </c>
      <c r="E176">
        <v>155</v>
      </c>
      <c r="F176">
        <v>8</v>
      </c>
      <c r="G176">
        <v>21</v>
      </c>
      <c r="H176">
        <v>142</v>
      </c>
      <c r="I176" t="s">
        <v>33</v>
      </c>
      <c r="J176">
        <v>1886</v>
      </c>
      <c r="K176">
        <v>39606</v>
      </c>
      <c r="L176">
        <v>15</v>
      </c>
      <c r="M176" t="s">
        <v>27</v>
      </c>
    </row>
    <row r="177" spans="1:13" x14ac:dyDescent="0.35">
      <c r="A177" t="s">
        <v>213</v>
      </c>
      <c r="B177" s="1">
        <v>45784</v>
      </c>
      <c r="C177" t="s">
        <v>205</v>
      </c>
      <c r="D177" t="s">
        <v>55</v>
      </c>
      <c r="E177">
        <v>182</v>
      </c>
      <c r="F177">
        <v>71</v>
      </c>
      <c r="G177">
        <v>19</v>
      </c>
      <c r="H177">
        <v>234</v>
      </c>
      <c r="I177" t="s">
        <v>30</v>
      </c>
      <c r="J177">
        <v>1360</v>
      </c>
      <c r="K177">
        <v>25840</v>
      </c>
      <c r="L177">
        <v>10</v>
      </c>
      <c r="M177" t="s">
        <v>50</v>
      </c>
    </row>
    <row r="178" spans="1:13" x14ac:dyDescent="0.35">
      <c r="A178" t="s">
        <v>214</v>
      </c>
      <c r="B178" s="1">
        <v>45785</v>
      </c>
      <c r="C178" t="s">
        <v>205</v>
      </c>
      <c r="D178" t="s">
        <v>26</v>
      </c>
      <c r="E178">
        <v>376</v>
      </c>
      <c r="F178">
        <v>85</v>
      </c>
      <c r="G178">
        <v>22</v>
      </c>
      <c r="H178">
        <v>439</v>
      </c>
      <c r="I178" t="s">
        <v>33</v>
      </c>
      <c r="J178">
        <v>2481</v>
      </c>
      <c r="K178">
        <v>54582</v>
      </c>
      <c r="L178">
        <v>15</v>
      </c>
      <c r="M178" t="s">
        <v>27</v>
      </c>
    </row>
    <row r="179" spans="1:13" x14ac:dyDescent="0.35">
      <c r="A179" t="s">
        <v>215</v>
      </c>
      <c r="B179" s="1">
        <v>45791</v>
      </c>
      <c r="C179" t="s">
        <v>205</v>
      </c>
      <c r="D179" t="s">
        <v>45</v>
      </c>
      <c r="E179">
        <v>323</v>
      </c>
      <c r="F179">
        <v>74</v>
      </c>
      <c r="G179">
        <v>37</v>
      </c>
      <c r="H179">
        <v>360</v>
      </c>
      <c r="I179" t="s">
        <v>16</v>
      </c>
      <c r="J179">
        <v>6449</v>
      </c>
      <c r="K179">
        <v>238613</v>
      </c>
      <c r="L179">
        <v>8</v>
      </c>
      <c r="M179" t="s">
        <v>27</v>
      </c>
    </row>
    <row r="180" spans="1:13" x14ac:dyDescent="0.35">
      <c r="A180" t="s">
        <v>216</v>
      </c>
      <c r="B180" s="1">
        <v>45792</v>
      </c>
      <c r="C180" t="s">
        <v>205</v>
      </c>
      <c r="D180" t="s">
        <v>38</v>
      </c>
      <c r="E180">
        <v>218</v>
      </c>
      <c r="F180">
        <v>11</v>
      </c>
      <c r="G180">
        <v>28</v>
      </c>
      <c r="H180">
        <v>201</v>
      </c>
      <c r="I180" t="s">
        <v>42</v>
      </c>
      <c r="J180">
        <v>140</v>
      </c>
      <c r="K180">
        <v>3920</v>
      </c>
      <c r="L180">
        <v>30</v>
      </c>
      <c r="M180" t="s">
        <v>17</v>
      </c>
    </row>
    <row r="181" spans="1:13" x14ac:dyDescent="0.35">
      <c r="A181" t="s">
        <v>217</v>
      </c>
      <c r="B181" s="1">
        <v>45793</v>
      </c>
      <c r="C181" t="s">
        <v>205</v>
      </c>
      <c r="D181" t="s">
        <v>29</v>
      </c>
      <c r="E181">
        <v>107</v>
      </c>
      <c r="F181">
        <v>44</v>
      </c>
      <c r="G181">
        <v>56</v>
      </c>
      <c r="H181">
        <v>95</v>
      </c>
      <c r="I181" t="s">
        <v>42</v>
      </c>
      <c r="J181">
        <v>57</v>
      </c>
      <c r="K181">
        <v>3192</v>
      </c>
      <c r="L181">
        <v>35</v>
      </c>
      <c r="M181" t="s">
        <v>21</v>
      </c>
    </row>
    <row r="182" spans="1:13" x14ac:dyDescent="0.35">
      <c r="A182" t="s">
        <v>218</v>
      </c>
      <c r="B182" s="1">
        <v>45793</v>
      </c>
      <c r="C182" t="s">
        <v>205</v>
      </c>
      <c r="D182" t="s">
        <v>38</v>
      </c>
      <c r="E182">
        <v>476</v>
      </c>
      <c r="F182">
        <v>15</v>
      </c>
      <c r="G182">
        <v>5</v>
      </c>
      <c r="H182">
        <v>486</v>
      </c>
      <c r="I182" t="s">
        <v>30</v>
      </c>
      <c r="J182">
        <v>160</v>
      </c>
      <c r="K182">
        <v>800</v>
      </c>
      <c r="L182">
        <v>30</v>
      </c>
      <c r="M182" t="s">
        <v>17</v>
      </c>
    </row>
    <row r="183" spans="1:13" x14ac:dyDescent="0.35">
      <c r="A183" t="s">
        <v>219</v>
      </c>
      <c r="B183" s="1">
        <v>45793</v>
      </c>
      <c r="C183" t="s">
        <v>205</v>
      </c>
      <c r="D183" t="s">
        <v>55</v>
      </c>
      <c r="E183">
        <v>443</v>
      </c>
      <c r="F183">
        <v>80</v>
      </c>
      <c r="G183">
        <v>37</v>
      </c>
      <c r="H183">
        <v>486</v>
      </c>
      <c r="I183" t="s">
        <v>42</v>
      </c>
      <c r="J183">
        <v>2254</v>
      </c>
      <c r="K183">
        <v>83398</v>
      </c>
      <c r="L183">
        <v>10</v>
      </c>
      <c r="M183" t="s">
        <v>50</v>
      </c>
    </row>
    <row r="184" spans="1:13" x14ac:dyDescent="0.35">
      <c r="A184" t="s">
        <v>220</v>
      </c>
      <c r="B184" s="1">
        <v>45793</v>
      </c>
      <c r="C184" t="s">
        <v>205</v>
      </c>
      <c r="D184" t="s">
        <v>38</v>
      </c>
      <c r="E184">
        <v>213</v>
      </c>
      <c r="F184">
        <v>79</v>
      </c>
      <c r="G184">
        <v>44</v>
      </c>
      <c r="H184">
        <v>248</v>
      </c>
      <c r="I184" t="s">
        <v>20</v>
      </c>
      <c r="J184">
        <v>283</v>
      </c>
      <c r="K184">
        <v>12452</v>
      </c>
      <c r="L184">
        <v>30</v>
      </c>
      <c r="M184" t="s">
        <v>21</v>
      </c>
    </row>
    <row r="185" spans="1:13" x14ac:dyDescent="0.35">
      <c r="A185" t="s">
        <v>221</v>
      </c>
      <c r="B185" s="1">
        <v>45793</v>
      </c>
      <c r="C185" t="s">
        <v>205</v>
      </c>
      <c r="D185" t="s">
        <v>15</v>
      </c>
      <c r="E185">
        <v>66</v>
      </c>
      <c r="F185">
        <v>16</v>
      </c>
      <c r="G185">
        <v>47</v>
      </c>
      <c r="H185">
        <v>35</v>
      </c>
      <c r="I185" t="s">
        <v>33</v>
      </c>
      <c r="J185">
        <v>2062</v>
      </c>
      <c r="K185">
        <v>96914</v>
      </c>
      <c r="L185">
        <v>12</v>
      </c>
      <c r="M185" t="s">
        <v>21</v>
      </c>
    </row>
    <row r="186" spans="1:13" x14ac:dyDescent="0.35">
      <c r="A186" t="s">
        <v>222</v>
      </c>
      <c r="B186" s="1">
        <v>45794</v>
      </c>
      <c r="C186" t="s">
        <v>205</v>
      </c>
      <c r="D186" t="s">
        <v>53</v>
      </c>
      <c r="E186">
        <v>447</v>
      </c>
      <c r="F186">
        <v>50</v>
      </c>
      <c r="G186">
        <v>5</v>
      </c>
      <c r="H186">
        <v>492</v>
      </c>
      <c r="I186" t="s">
        <v>16</v>
      </c>
      <c r="J186">
        <v>632</v>
      </c>
      <c r="K186">
        <v>3160</v>
      </c>
      <c r="L186">
        <v>20</v>
      </c>
      <c r="M186" t="s">
        <v>50</v>
      </c>
    </row>
    <row r="187" spans="1:13" x14ac:dyDescent="0.35">
      <c r="A187" t="s">
        <v>223</v>
      </c>
      <c r="B187" s="1">
        <v>45795</v>
      </c>
      <c r="C187" t="s">
        <v>205</v>
      </c>
      <c r="D187" t="s">
        <v>45</v>
      </c>
      <c r="E187">
        <v>233</v>
      </c>
      <c r="F187">
        <v>86</v>
      </c>
      <c r="G187">
        <v>38</v>
      </c>
      <c r="H187">
        <v>281</v>
      </c>
      <c r="I187" t="s">
        <v>20</v>
      </c>
      <c r="J187">
        <v>5969</v>
      </c>
      <c r="K187">
        <v>226822</v>
      </c>
      <c r="L187">
        <v>8</v>
      </c>
      <c r="M187" t="s">
        <v>17</v>
      </c>
    </row>
    <row r="188" spans="1:13" x14ac:dyDescent="0.35">
      <c r="A188" t="s">
        <v>224</v>
      </c>
      <c r="B188" s="1">
        <v>45795</v>
      </c>
      <c r="C188" t="s">
        <v>205</v>
      </c>
      <c r="D188" t="s">
        <v>38</v>
      </c>
      <c r="E188">
        <v>205</v>
      </c>
      <c r="F188">
        <v>36</v>
      </c>
      <c r="G188">
        <v>21</v>
      </c>
      <c r="H188">
        <v>220</v>
      </c>
      <c r="I188" t="s">
        <v>33</v>
      </c>
      <c r="J188">
        <v>146</v>
      </c>
      <c r="K188">
        <v>3066</v>
      </c>
      <c r="L188">
        <v>30</v>
      </c>
      <c r="M188" t="s">
        <v>21</v>
      </c>
    </row>
    <row r="189" spans="1:13" x14ac:dyDescent="0.35">
      <c r="A189" t="s">
        <v>225</v>
      </c>
      <c r="B189" s="1">
        <v>45795</v>
      </c>
      <c r="C189" t="s">
        <v>205</v>
      </c>
      <c r="D189" t="s">
        <v>19</v>
      </c>
      <c r="E189">
        <v>292</v>
      </c>
      <c r="F189">
        <v>18</v>
      </c>
      <c r="G189">
        <v>4</v>
      </c>
      <c r="H189">
        <v>306</v>
      </c>
      <c r="I189" t="s">
        <v>16</v>
      </c>
      <c r="J189">
        <v>1042</v>
      </c>
      <c r="K189">
        <v>4168</v>
      </c>
      <c r="L189">
        <v>8</v>
      </c>
      <c r="M189" t="s">
        <v>21</v>
      </c>
    </row>
    <row r="190" spans="1:13" x14ac:dyDescent="0.35">
      <c r="A190" t="s">
        <v>226</v>
      </c>
      <c r="B190" s="1">
        <v>45797</v>
      </c>
      <c r="C190" t="s">
        <v>205</v>
      </c>
      <c r="D190" t="s">
        <v>23</v>
      </c>
      <c r="E190">
        <v>150</v>
      </c>
      <c r="F190">
        <v>96</v>
      </c>
      <c r="G190">
        <v>32</v>
      </c>
      <c r="H190">
        <v>214</v>
      </c>
      <c r="I190" t="s">
        <v>30</v>
      </c>
      <c r="J190">
        <v>833</v>
      </c>
      <c r="K190">
        <v>26656</v>
      </c>
      <c r="L190">
        <v>12</v>
      </c>
      <c r="M190" t="s">
        <v>50</v>
      </c>
    </row>
    <row r="191" spans="1:13" x14ac:dyDescent="0.35">
      <c r="A191" t="s">
        <v>227</v>
      </c>
      <c r="B191" s="1">
        <v>45797</v>
      </c>
      <c r="C191" t="s">
        <v>205</v>
      </c>
      <c r="D191" t="s">
        <v>26</v>
      </c>
      <c r="E191">
        <v>266</v>
      </c>
      <c r="F191">
        <v>84</v>
      </c>
      <c r="G191">
        <v>27</v>
      </c>
      <c r="H191">
        <v>323</v>
      </c>
      <c r="I191" t="s">
        <v>33</v>
      </c>
      <c r="J191">
        <v>3789</v>
      </c>
      <c r="K191">
        <v>102303</v>
      </c>
      <c r="L191">
        <v>15</v>
      </c>
      <c r="M191" t="s">
        <v>21</v>
      </c>
    </row>
    <row r="192" spans="1:13" x14ac:dyDescent="0.35">
      <c r="A192" t="s">
        <v>228</v>
      </c>
      <c r="B192" s="1">
        <v>45798</v>
      </c>
      <c r="C192" t="s">
        <v>205</v>
      </c>
      <c r="D192" t="s">
        <v>55</v>
      </c>
      <c r="E192">
        <v>265</v>
      </c>
      <c r="F192">
        <v>9</v>
      </c>
      <c r="G192">
        <v>45</v>
      </c>
      <c r="H192">
        <v>229</v>
      </c>
      <c r="I192" t="s">
        <v>42</v>
      </c>
      <c r="J192">
        <v>1485</v>
      </c>
      <c r="K192">
        <v>66825</v>
      </c>
      <c r="L192">
        <v>10</v>
      </c>
      <c r="M192" t="s">
        <v>50</v>
      </c>
    </row>
    <row r="193" spans="1:13" x14ac:dyDescent="0.35">
      <c r="A193" t="s">
        <v>229</v>
      </c>
      <c r="B193" s="1">
        <v>45798</v>
      </c>
      <c r="C193" t="s">
        <v>205</v>
      </c>
      <c r="D193" t="s">
        <v>29</v>
      </c>
      <c r="E193">
        <v>314</v>
      </c>
      <c r="F193">
        <v>36</v>
      </c>
      <c r="G193">
        <v>1</v>
      </c>
      <c r="H193">
        <v>349</v>
      </c>
      <c r="I193" t="s">
        <v>16</v>
      </c>
      <c r="J193">
        <v>168</v>
      </c>
      <c r="K193">
        <v>168</v>
      </c>
      <c r="L193">
        <v>35</v>
      </c>
      <c r="M193" t="s">
        <v>17</v>
      </c>
    </row>
    <row r="194" spans="1:13" x14ac:dyDescent="0.35">
      <c r="A194" t="s">
        <v>230</v>
      </c>
      <c r="B194" s="1">
        <v>45800</v>
      </c>
      <c r="C194" t="s">
        <v>205</v>
      </c>
      <c r="D194" t="s">
        <v>26</v>
      </c>
      <c r="E194">
        <v>491</v>
      </c>
      <c r="F194">
        <v>57</v>
      </c>
      <c r="G194">
        <v>15</v>
      </c>
      <c r="H194">
        <v>533</v>
      </c>
      <c r="I194" t="s">
        <v>33</v>
      </c>
      <c r="J194">
        <v>3703</v>
      </c>
      <c r="K194">
        <v>55545</v>
      </c>
      <c r="L194">
        <v>15</v>
      </c>
      <c r="M194" t="s">
        <v>21</v>
      </c>
    </row>
    <row r="195" spans="1:13" x14ac:dyDescent="0.35">
      <c r="A195" t="s">
        <v>231</v>
      </c>
      <c r="B195" s="1">
        <v>45800</v>
      </c>
      <c r="C195" t="s">
        <v>205</v>
      </c>
      <c r="D195" t="s">
        <v>53</v>
      </c>
      <c r="E195">
        <v>119</v>
      </c>
      <c r="F195">
        <v>27</v>
      </c>
      <c r="G195">
        <v>48</v>
      </c>
      <c r="H195">
        <v>98</v>
      </c>
      <c r="I195" t="s">
        <v>20</v>
      </c>
      <c r="J195">
        <v>594</v>
      </c>
      <c r="K195">
        <v>28512</v>
      </c>
      <c r="L195">
        <v>20</v>
      </c>
      <c r="M195" t="s">
        <v>24</v>
      </c>
    </row>
    <row r="196" spans="1:13" x14ac:dyDescent="0.35">
      <c r="A196" t="s">
        <v>232</v>
      </c>
      <c r="B196" s="1">
        <v>45800</v>
      </c>
      <c r="C196" t="s">
        <v>205</v>
      </c>
      <c r="D196" t="s">
        <v>26</v>
      </c>
      <c r="E196">
        <v>333</v>
      </c>
      <c r="F196">
        <v>28</v>
      </c>
      <c r="G196">
        <v>51</v>
      </c>
      <c r="H196">
        <v>310</v>
      </c>
      <c r="I196" t="s">
        <v>33</v>
      </c>
      <c r="J196">
        <v>3557</v>
      </c>
      <c r="K196">
        <v>181407</v>
      </c>
      <c r="L196">
        <v>15</v>
      </c>
      <c r="M196" t="s">
        <v>27</v>
      </c>
    </row>
    <row r="197" spans="1:13" x14ac:dyDescent="0.35">
      <c r="A197" t="s">
        <v>233</v>
      </c>
      <c r="B197" s="1">
        <v>45803</v>
      </c>
      <c r="C197" t="s">
        <v>205</v>
      </c>
      <c r="D197" t="s">
        <v>29</v>
      </c>
      <c r="E197">
        <v>473</v>
      </c>
      <c r="F197">
        <v>10</v>
      </c>
      <c r="G197">
        <v>16</v>
      </c>
      <c r="H197">
        <v>467</v>
      </c>
      <c r="I197" t="s">
        <v>33</v>
      </c>
      <c r="J197">
        <v>90</v>
      </c>
      <c r="K197">
        <v>1440</v>
      </c>
      <c r="L197">
        <v>35</v>
      </c>
      <c r="M197" t="s">
        <v>21</v>
      </c>
    </row>
    <row r="198" spans="1:13" x14ac:dyDescent="0.35">
      <c r="A198" t="s">
        <v>234</v>
      </c>
      <c r="B198" s="1">
        <v>45803</v>
      </c>
      <c r="C198" t="s">
        <v>205</v>
      </c>
      <c r="D198" t="s">
        <v>26</v>
      </c>
      <c r="E198">
        <v>387</v>
      </c>
      <c r="F198">
        <v>86</v>
      </c>
      <c r="G198">
        <v>37</v>
      </c>
      <c r="H198">
        <v>436</v>
      </c>
      <c r="I198" t="s">
        <v>33</v>
      </c>
      <c r="J198">
        <v>3793</v>
      </c>
      <c r="K198">
        <v>140341</v>
      </c>
      <c r="L198">
        <v>15</v>
      </c>
      <c r="M198" t="s">
        <v>21</v>
      </c>
    </row>
    <row r="199" spans="1:13" x14ac:dyDescent="0.35">
      <c r="A199" t="s">
        <v>235</v>
      </c>
      <c r="B199" s="1">
        <v>45804</v>
      </c>
      <c r="C199" t="s">
        <v>205</v>
      </c>
      <c r="D199" t="s">
        <v>53</v>
      </c>
      <c r="E199">
        <v>79</v>
      </c>
      <c r="F199">
        <v>82</v>
      </c>
      <c r="G199">
        <v>55</v>
      </c>
      <c r="H199">
        <v>106</v>
      </c>
      <c r="I199" t="s">
        <v>33</v>
      </c>
      <c r="J199">
        <v>342</v>
      </c>
      <c r="K199">
        <v>18810</v>
      </c>
      <c r="L199">
        <v>20</v>
      </c>
      <c r="M199" t="s">
        <v>50</v>
      </c>
    </row>
    <row r="200" spans="1:13" x14ac:dyDescent="0.35">
      <c r="A200" t="s">
        <v>236</v>
      </c>
      <c r="B200" s="1">
        <v>45804</v>
      </c>
      <c r="C200" t="s">
        <v>205</v>
      </c>
      <c r="D200" t="s">
        <v>29</v>
      </c>
      <c r="E200">
        <v>361</v>
      </c>
      <c r="F200">
        <v>91</v>
      </c>
      <c r="G200">
        <v>32</v>
      </c>
      <c r="H200">
        <v>420</v>
      </c>
      <c r="I200" t="s">
        <v>16</v>
      </c>
      <c r="J200">
        <v>146</v>
      </c>
      <c r="K200">
        <v>4672</v>
      </c>
      <c r="L200">
        <v>35</v>
      </c>
      <c r="M200" t="s">
        <v>21</v>
      </c>
    </row>
    <row r="201" spans="1:13" x14ac:dyDescent="0.35">
      <c r="A201" t="s">
        <v>237</v>
      </c>
      <c r="B201" s="1">
        <v>45806</v>
      </c>
      <c r="C201" t="s">
        <v>205</v>
      </c>
      <c r="D201" t="s">
        <v>15</v>
      </c>
      <c r="E201">
        <v>61</v>
      </c>
      <c r="F201">
        <v>36</v>
      </c>
      <c r="G201">
        <v>45</v>
      </c>
      <c r="H201">
        <v>52</v>
      </c>
      <c r="I201" t="s">
        <v>30</v>
      </c>
      <c r="J201">
        <v>1361</v>
      </c>
      <c r="K201">
        <v>61245</v>
      </c>
      <c r="L201">
        <v>12</v>
      </c>
      <c r="M201" t="s">
        <v>17</v>
      </c>
    </row>
    <row r="202" spans="1:13" x14ac:dyDescent="0.35">
      <c r="A202" t="s">
        <v>238</v>
      </c>
      <c r="B202" s="1">
        <v>45807</v>
      </c>
      <c r="C202" t="s">
        <v>205</v>
      </c>
      <c r="D202" t="s">
        <v>15</v>
      </c>
      <c r="E202">
        <v>259</v>
      </c>
      <c r="F202">
        <v>0</v>
      </c>
      <c r="G202">
        <v>39</v>
      </c>
      <c r="H202">
        <v>220</v>
      </c>
      <c r="I202" t="s">
        <v>42</v>
      </c>
      <c r="J202">
        <v>1922</v>
      </c>
      <c r="K202">
        <v>74958</v>
      </c>
      <c r="L202">
        <v>12</v>
      </c>
      <c r="M202" t="s">
        <v>17</v>
      </c>
    </row>
    <row r="203" spans="1:13" x14ac:dyDescent="0.35">
      <c r="A203" t="s">
        <v>239</v>
      </c>
      <c r="B203" s="1">
        <v>45807</v>
      </c>
      <c r="C203" t="s">
        <v>205</v>
      </c>
      <c r="D203" t="s">
        <v>55</v>
      </c>
      <c r="E203">
        <v>56</v>
      </c>
      <c r="F203">
        <v>35</v>
      </c>
      <c r="G203">
        <v>14</v>
      </c>
      <c r="H203">
        <v>77</v>
      </c>
      <c r="I203" t="s">
        <v>30</v>
      </c>
      <c r="J203">
        <v>2001</v>
      </c>
      <c r="K203">
        <v>28014</v>
      </c>
      <c r="L203">
        <v>10</v>
      </c>
      <c r="M203" t="s">
        <v>17</v>
      </c>
    </row>
    <row r="204" spans="1:13" x14ac:dyDescent="0.35">
      <c r="A204" t="s">
        <v>240</v>
      </c>
      <c r="B204" s="1">
        <v>45809</v>
      </c>
      <c r="C204" t="s">
        <v>241</v>
      </c>
      <c r="D204" t="s">
        <v>40</v>
      </c>
      <c r="E204">
        <v>448</v>
      </c>
      <c r="F204">
        <v>31</v>
      </c>
      <c r="G204">
        <v>45</v>
      </c>
      <c r="H204">
        <v>434</v>
      </c>
      <c r="I204" t="s">
        <v>20</v>
      </c>
      <c r="J204">
        <v>195</v>
      </c>
      <c r="K204">
        <v>8775</v>
      </c>
      <c r="L204">
        <v>25</v>
      </c>
      <c r="M204" t="s">
        <v>21</v>
      </c>
    </row>
    <row r="205" spans="1:13" x14ac:dyDescent="0.35">
      <c r="A205" t="s">
        <v>242</v>
      </c>
      <c r="B205" s="1">
        <v>45809</v>
      </c>
      <c r="C205" t="s">
        <v>241</v>
      </c>
      <c r="D205" t="s">
        <v>26</v>
      </c>
      <c r="E205">
        <v>207</v>
      </c>
      <c r="F205">
        <v>95</v>
      </c>
      <c r="G205">
        <v>26</v>
      </c>
      <c r="H205">
        <v>276</v>
      </c>
      <c r="I205" t="s">
        <v>42</v>
      </c>
      <c r="J205">
        <v>2519</v>
      </c>
      <c r="K205">
        <v>65494</v>
      </c>
      <c r="L205">
        <v>15</v>
      </c>
      <c r="M205" t="s">
        <v>27</v>
      </c>
    </row>
    <row r="206" spans="1:13" x14ac:dyDescent="0.35">
      <c r="A206" t="s">
        <v>243</v>
      </c>
      <c r="B206" s="1">
        <v>45809</v>
      </c>
      <c r="C206" t="s">
        <v>241</v>
      </c>
      <c r="D206" t="s">
        <v>40</v>
      </c>
      <c r="E206">
        <v>398</v>
      </c>
      <c r="F206">
        <v>37</v>
      </c>
      <c r="G206">
        <v>1</v>
      </c>
      <c r="H206">
        <v>434</v>
      </c>
      <c r="I206" t="s">
        <v>30</v>
      </c>
      <c r="J206">
        <v>525</v>
      </c>
      <c r="K206">
        <v>525</v>
      </c>
      <c r="L206">
        <v>25</v>
      </c>
      <c r="M206" t="s">
        <v>27</v>
      </c>
    </row>
    <row r="207" spans="1:13" x14ac:dyDescent="0.35">
      <c r="A207" t="s">
        <v>244</v>
      </c>
      <c r="B207" s="1">
        <v>45809</v>
      </c>
      <c r="C207" t="s">
        <v>241</v>
      </c>
      <c r="D207" t="s">
        <v>38</v>
      </c>
      <c r="E207">
        <v>422</v>
      </c>
      <c r="F207">
        <v>43</v>
      </c>
      <c r="G207">
        <v>51</v>
      </c>
      <c r="H207">
        <v>414</v>
      </c>
      <c r="I207" t="s">
        <v>16</v>
      </c>
      <c r="J207">
        <v>138</v>
      </c>
      <c r="K207">
        <v>7038</v>
      </c>
      <c r="L207">
        <v>30</v>
      </c>
      <c r="M207" t="s">
        <v>17</v>
      </c>
    </row>
    <row r="208" spans="1:13" x14ac:dyDescent="0.35">
      <c r="A208" t="s">
        <v>245</v>
      </c>
      <c r="B208" s="1">
        <v>45810</v>
      </c>
      <c r="C208" t="s">
        <v>241</v>
      </c>
      <c r="D208" t="s">
        <v>53</v>
      </c>
      <c r="E208">
        <v>425</v>
      </c>
      <c r="F208">
        <v>49</v>
      </c>
      <c r="G208">
        <v>54</v>
      </c>
      <c r="H208">
        <v>420</v>
      </c>
      <c r="I208" t="s">
        <v>33</v>
      </c>
      <c r="J208">
        <v>679</v>
      </c>
      <c r="K208">
        <v>36666</v>
      </c>
      <c r="L208">
        <v>20</v>
      </c>
      <c r="M208" t="s">
        <v>24</v>
      </c>
    </row>
    <row r="209" spans="1:13" x14ac:dyDescent="0.35">
      <c r="A209" t="s">
        <v>246</v>
      </c>
      <c r="B209" s="1">
        <v>45811</v>
      </c>
      <c r="C209" t="s">
        <v>241</v>
      </c>
      <c r="D209" t="s">
        <v>55</v>
      </c>
      <c r="E209">
        <v>479</v>
      </c>
      <c r="F209">
        <v>90</v>
      </c>
      <c r="G209">
        <v>9</v>
      </c>
      <c r="H209">
        <v>560</v>
      </c>
      <c r="I209" t="s">
        <v>20</v>
      </c>
      <c r="J209">
        <v>1848</v>
      </c>
      <c r="K209">
        <v>16632</v>
      </c>
      <c r="L209">
        <v>10</v>
      </c>
      <c r="M209" t="s">
        <v>50</v>
      </c>
    </row>
    <row r="210" spans="1:13" x14ac:dyDescent="0.35">
      <c r="A210" t="s">
        <v>247</v>
      </c>
      <c r="B210" s="1">
        <v>45811</v>
      </c>
      <c r="C210" t="s">
        <v>241</v>
      </c>
      <c r="D210" t="s">
        <v>26</v>
      </c>
      <c r="E210">
        <v>299</v>
      </c>
      <c r="F210">
        <v>39</v>
      </c>
      <c r="G210">
        <v>42</v>
      </c>
      <c r="H210">
        <v>296</v>
      </c>
      <c r="I210" t="s">
        <v>30</v>
      </c>
      <c r="J210">
        <v>3472</v>
      </c>
      <c r="K210">
        <v>145824</v>
      </c>
      <c r="L210">
        <v>15</v>
      </c>
      <c r="M210" t="s">
        <v>21</v>
      </c>
    </row>
    <row r="211" spans="1:13" x14ac:dyDescent="0.35">
      <c r="A211" t="s">
        <v>248</v>
      </c>
      <c r="B211" s="1">
        <v>45811</v>
      </c>
      <c r="C211" t="s">
        <v>241</v>
      </c>
      <c r="D211" t="s">
        <v>53</v>
      </c>
      <c r="E211">
        <v>110</v>
      </c>
      <c r="F211">
        <v>48</v>
      </c>
      <c r="G211">
        <v>49</v>
      </c>
      <c r="H211">
        <v>109</v>
      </c>
      <c r="I211" t="s">
        <v>42</v>
      </c>
      <c r="J211">
        <v>386</v>
      </c>
      <c r="K211">
        <v>18914</v>
      </c>
      <c r="L211">
        <v>20</v>
      </c>
      <c r="M211" t="s">
        <v>24</v>
      </c>
    </row>
    <row r="212" spans="1:13" x14ac:dyDescent="0.35">
      <c r="A212" t="s">
        <v>249</v>
      </c>
      <c r="B212" s="1">
        <v>45811</v>
      </c>
      <c r="C212" t="s">
        <v>241</v>
      </c>
      <c r="D212" t="s">
        <v>23</v>
      </c>
      <c r="E212">
        <v>287</v>
      </c>
      <c r="F212">
        <v>100</v>
      </c>
      <c r="G212">
        <v>4</v>
      </c>
      <c r="H212">
        <v>383</v>
      </c>
      <c r="I212" t="s">
        <v>30</v>
      </c>
      <c r="J212">
        <v>1339</v>
      </c>
      <c r="K212">
        <v>5356</v>
      </c>
      <c r="L212">
        <v>12</v>
      </c>
      <c r="M212" t="s">
        <v>24</v>
      </c>
    </row>
    <row r="213" spans="1:13" x14ac:dyDescent="0.35">
      <c r="A213" t="s">
        <v>250</v>
      </c>
      <c r="B213" s="1">
        <v>45811</v>
      </c>
      <c r="C213" t="s">
        <v>241</v>
      </c>
      <c r="D213" t="s">
        <v>29</v>
      </c>
      <c r="E213">
        <v>379</v>
      </c>
      <c r="F213">
        <v>13</v>
      </c>
      <c r="G213">
        <v>60</v>
      </c>
      <c r="H213">
        <v>332</v>
      </c>
      <c r="I213" t="s">
        <v>30</v>
      </c>
      <c r="J213">
        <v>74</v>
      </c>
      <c r="K213">
        <v>4440</v>
      </c>
      <c r="L213">
        <v>35</v>
      </c>
      <c r="M213" t="s">
        <v>17</v>
      </c>
    </row>
    <row r="214" spans="1:13" x14ac:dyDescent="0.35">
      <c r="A214" t="s">
        <v>251</v>
      </c>
      <c r="B214" s="1">
        <v>45813</v>
      </c>
      <c r="C214" t="s">
        <v>241</v>
      </c>
      <c r="D214" t="s">
        <v>40</v>
      </c>
      <c r="E214">
        <v>83</v>
      </c>
      <c r="F214">
        <v>31</v>
      </c>
      <c r="G214">
        <v>7</v>
      </c>
      <c r="H214">
        <v>107</v>
      </c>
      <c r="I214" t="s">
        <v>16</v>
      </c>
      <c r="J214">
        <v>691</v>
      </c>
      <c r="K214">
        <v>4837</v>
      </c>
      <c r="L214">
        <v>25</v>
      </c>
      <c r="M214" t="s">
        <v>27</v>
      </c>
    </row>
    <row r="215" spans="1:13" x14ac:dyDescent="0.35">
      <c r="A215" t="s">
        <v>252</v>
      </c>
      <c r="B215" s="1">
        <v>45813</v>
      </c>
      <c r="C215" t="s">
        <v>241</v>
      </c>
      <c r="D215" t="s">
        <v>40</v>
      </c>
      <c r="E215">
        <v>418</v>
      </c>
      <c r="F215">
        <v>79</v>
      </c>
      <c r="G215">
        <v>15</v>
      </c>
      <c r="H215">
        <v>482</v>
      </c>
      <c r="I215" t="s">
        <v>30</v>
      </c>
      <c r="J215">
        <v>595</v>
      </c>
      <c r="K215">
        <v>8925</v>
      </c>
      <c r="L215">
        <v>25</v>
      </c>
      <c r="M215" t="s">
        <v>21</v>
      </c>
    </row>
    <row r="216" spans="1:13" x14ac:dyDescent="0.35">
      <c r="A216" t="s">
        <v>253</v>
      </c>
      <c r="B216" s="1">
        <v>45813</v>
      </c>
      <c r="C216" t="s">
        <v>241</v>
      </c>
      <c r="D216" t="s">
        <v>53</v>
      </c>
      <c r="E216">
        <v>47</v>
      </c>
      <c r="F216">
        <v>27</v>
      </c>
      <c r="G216">
        <v>59</v>
      </c>
      <c r="H216">
        <v>15</v>
      </c>
      <c r="I216" t="s">
        <v>20</v>
      </c>
      <c r="J216">
        <v>444</v>
      </c>
      <c r="K216">
        <v>26196</v>
      </c>
      <c r="L216">
        <v>20</v>
      </c>
      <c r="M216" t="s">
        <v>50</v>
      </c>
    </row>
    <row r="217" spans="1:13" x14ac:dyDescent="0.35">
      <c r="A217" t="s">
        <v>254</v>
      </c>
      <c r="B217" s="1">
        <v>45814</v>
      </c>
      <c r="C217" t="s">
        <v>241</v>
      </c>
      <c r="D217" t="s">
        <v>55</v>
      </c>
      <c r="E217">
        <v>99</v>
      </c>
      <c r="F217">
        <v>23</v>
      </c>
      <c r="G217">
        <v>23</v>
      </c>
      <c r="H217">
        <v>99</v>
      </c>
      <c r="I217" t="s">
        <v>42</v>
      </c>
      <c r="J217">
        <v>2320</v>
      </c>
      <c r="K217">
        <v>53360</v>
      </c>
      <c r="L217">
        <v>10</v>
      </c>
      <c r="M217" t="s">
        <v>50</v>
      </c>
    </row>
    <row r="218" spans="1:13" x14ac:dyDescent="0.35">
      <c r="A218" t="s">
        <v>255</v>
      </c>
      <c r="B218" s="1">
        <v>45814</v>
      </c>
      <c r="C218" t="s">
        <v>241</v>
      </c>
      <c r="D218" t="s">
        <v>19</v>
      </c>
      <c r="E218">
        <v>168</v>
      </c>
      <c r="F218">
        <v>29</v>
      </c>
      <c r="G218">
        <v>7</v>
      </c>
      <c r="H218">
        <v>190</v>
      </c>
      <c r="I218" t="s">
        <v>42</v>
      </c>
      <c r="J218">
        <v>2177</v>
      </c>
      <c r="K218">
        <v>15239</v>
      </c>
      <c r="L218">
        <v>8</v>
      </c>
      <c r="M218" t="s">
        <v>21</v>
      </c>
    </row>
    <row r="219" spans="1:13" x14ac:dyDescent="0.35">
      <c r="A219" t="s">
        <v>256</v>
      </c>
      <c r="B219" s="1">
        <v>45816</v>
      </c>
      <c r="C219" t="s">
        <v>241</v>
      </c>
      <c r="D219" t="s">
        <v>45</v>
      </c>
      <c r="E219">
        <v>443</v>
      </c>
      <c r="F219">
        <v>56</v>
      </c>
      <c r="G219">
        <v>2</v>
      </c>
      <c r="H219">
        <v>497</v>
      </c>
      <c r="I219" t="s">
        <v>30</v>
      </c>
      <c r="J219">
        <v>5873</v>
      </c>
      <c r="K219">
        <v>11746</v>
      </c>
      <c r="L219">
        <v>8</v>
      </c>
      <c r="M219" t="s">
        <v>17</v>
      </c>
    </row>
    <row r="220" spans="1:13" x14ac:dyDescent="0.35">
      <c r="A220" t="s">
        <v>257</v>
      </c>
      <c r="B220" s="1">
        <v>45816</v>
      </c>
      <c r="C220" t="s">
        <v>241</v>
      </c>
      <c r="D220" t="s">
        <v>23</v>
      </c>
      <c r="E220">
        <v>421</v>
      </c>
      <c r="F220">
        <v>43</v>
      </c>
      <c r="G220">
        <v>14</v>
      </c>
      <c r="H220">
        <v>450</v>
      </c>
      <c r="I220" t="s">
        <v>42</v>
      </c>
      <c r="J220">
        <v>1282</v>
      </c>
      <c r="K220">
        <v>17948</v>
      </c>
      <c r="L220">
        <v>12</v>
      </c>
      <c r="M220" t="s">
        <v>24</v>
      </c>
    </row>
    <row r="221" spans="1:13" x14ac:dyDescent="0.35">
      <c r="A221" t="s">
        <v>258</v>
      </c>
      <c r="B221" s="1">
        <v>45817</v>
      </c>
      <c r="C221" t="s">
        <v>241</v>
      </c>
      <c r="D221" t="s">
        <v>53</v>
      </c>
      <c r="E221">
        <v>215</v>
      </c>
      <c r="F221">
        <v>58</v>
      </c>
      <c r="G221">
        <v>50</v>
      </c>
      <c r="H221">
        <v>223</v>
      </c>
      <c r="I221" t="s">
        <v>33</v>
      </c>
      <c r="J221">
        <v>461</v>
      </c>
      <c r="K221">
        <v>23050</v>
      </c>
      <c r="L221">
        <v>20</v>
      </c>
      <c r="M221" t="s">
        <v>50</v>
      </c>
    </row>
    <row r="222" spans="1:13" x14ac:dyDescent="0.35">
      <c r="A222" t="s">
        <v>259</v>
      </c>
      <c r="B222" s="1">
        <v>45818</v>
      </c>
      <c r="C222" t="s">
        <v>241</v>
      </c>
      <c r="D222" t="s">
        <v>23</v>
      </c>
      <c r="E222">
        <v>372</v>
      </c>
      <c r="F222">
        <v>35</v>
      </c>
      <c r="G222">
        <v>15</v>
      </c>
      <c r="H222">
        <v>392</v>
      </c>
      <c r="I222" t="s">
        <v>20</v>
      </c>
      <c r="J222">
        <v>832</v>
      </c>
      <c r="K222">
        <v>12480</v>
      </c>
      <c r="L222">
        <v>12</v>
      </c>
      <c r="M222" t="s">
        <v>24</v>
      </c>
    </row>
    <row r="223" spans="1:13" x14ac:dyDescent="0.35">
      <c r="A223" t="s">
        <v>260</v>
      </c>
      <c r="B223" s="1">
        <v>45818</v>
      </c>
      <c r="C223" t="s">
        <v>241</v>
      </c>
      <c r="D223" t="s">
        <v>38</v>
      </c>
      <c r="E223">
        <v>130</v>
      </c>
      <c r="F223">
        <v>50</v>
      </c>
      <c r="G223">
        <v>20</v>
      </c>
      <c r="H223">
        <v>160</v>
      </c>
      <c r="I223" t="s">
        <v>16</v>
      </c>
      <c r="J223">
        <v>229</v>
      </c>
      <c r="K223">
        <v>4580</v>
      </c>
      <c r="L223">
        <v>30</v>
      </c>
      <c r="M223" t="s">
        <v>17</v>
      </c>
    </row>
    <row r="224" spans="1:13" x14ac:dyDescent="0.35">
      <c r="A224" t="s">
        <v>261</v>
      </c>
      <c r="B224" s="1">
        <v>45818</v>
      </c>
      <c r="C224" t="s">
        <v>241</v>
      </c>
      <c r="D224" t="s">
        <v>26</v>
      </c>
      <c r="E224">
        <v>334</v>
      </c>
      <c r="F224">
        <v>54</v>
      </c>
      <c r="G224">
        <v>36</v>
      </c>
      <c r="H224">
        <v>352</v>
      </c>
      <c r="I224" t="s">
        <v>16</v>
      </c>
      <c r="J224">
        <v>3456</v>
      </c>
      <c r="K224">
        <v>124416</v>
      </c>
      <c r="L224">
        <v>15</v>
      </c>
      <c r="M224" t="s">
        <v>21</v>
      </c>
    </row>
    <row r="225" spans="1:13" x14ac:dyDescent="0.35">
      <c r="A225" t="s">
        <v>262</v>
      </c>
      <c r="B225" s="1">
        <v>45819</v>
      </c>
      <c r="C225" t="s">
        <v>241</v>
      </c>
      <c r="D225" t="s">
        <v>15</v>
      </c>
      <c r="E225">
        <v>48</v>
      </c>
      <c r="F225">
        <v>26</v>
      </c>
      <c r="G225">
        <v>37</v>
      </c>
      <c r="H225">
        <v>37</v>
      </c>
      <c r="I225" t="s">
        <v>16</v>
      </c>
      <c r="J225">
        <v>1495</v>
      </c>
      <c r="K225">
        <v>55315</v>
      </c>
      <c r="L225">
        <v>12</v>
      </c>
      <c r="M225" t="s">
        <v>21</v>
      </c>
    </row>
    <row r="226" spans="1:13" x14ac:dyDescent="0.35">
      <c r="A226" t="s">
        <v>263</v>
      </c>
      <c r="B226" s="1">
        <v>45820</v>
      </c>
      <c r="C226" t="s">
        <v>241</v>
      </c>
      <c r="D226" t="s">
        <v>53</v>
      </c>
      <c r="E226">
        <v>271</v>
      </c>
      <c r="F226">
        <v>34</v>
      </c>
      <c r="G226">
        <v>14</v>
      </c>
      <c r="H226">
        <v>291</v>
      </c>
      <c r="I226" t="s">
        <v>42</v>
      </c>
      <c r="J226">
        <v>326</v>
      </c>
      <c r="K226">
        <v>4564</v>
      </c>
      <c r="L226">
        <v>20</v>
      </c>
      <c r="M226" t="s">
        <v>24</v>
      </c>
    </row>
    <row r="227" spans="1:13" x14ac:dyDescent="0.35">
      <c r="A227" t="s">
        <v>264</v>
      </c>
      <c r="B227" s="1">
        <v>45821</v>
      </c>
      <c r="C227" t="s">
        <v>241</v>
      </c>
      <c r="D227" t="s">
        <v>53</v>
      </c>
      <c r="E227">
        <v>497</v>
      </c>
      <c r="F227">
        <v>69</v>
      </c>
      <c r="G227">
        <v>5</v>
      </c>
      <c r="H227">
        <v>561</v>
      </c>
      <c r="I227" t="s">
        <v>42</v>
      </c>
      <c r="J227">
        <v>391</v>
      </c>
      <c r="K227">
        <v>1955</v>
      </c>
      <c r="L227">
        <v>20</v>
      </c>
      <c r="M227" t="s">
        <v>24</v>
      </c>
    </row>
    <row r="228" spans="1:13" x14ac:dyDescent="0.35">
      <c r="A228" t="s">
        <v>265</v>
      </c>
      <c r="B228" s="1">
        <v>45822</v>
      </c>
      <c r="C228" t="s">
        <v>241</v>
      </c>
      <c r="D228" t="s">
        <v>55</v>
      </c>
      <c r="E228">
        <v>167</v>
      </c>
      <c r="F228">
        <v>53</v>
      </c>
      <c r="G228">
        <v>58</v>
      </c>
      <c r="H228">
        <v>162</v>
      </c>
      <c r="I228" t="s">
        <v>30</v>
      </c>
      <c r="J228">
        <v>2375</v>
      </c>
      <c r="K228">
        <v>137750</v>
      </c>
      <c r="L228">
        <v>10</v>
      </c>
      <c r="M228" t="s">
        <v>50</v>
      </c>
    </row>
    <row r="229" spans="1:13" x14ac:dyDescent="0.35">
      <c r="A229" t="s">
        <v>266</v>
      </c>
      <c r="B229" s="1">
        <v>45823</v>
      </c>
      <c r="C229" t="s">
        <v>241</v>
      </c>
      <c r="D229" t="s">
        <v>38</v>
      </c>
      <c r="E229">
        <v>167</v>
      </c>
      <c r="F229">
        <v>0</v>
      </c>
      <c r="G229">
        <v>16</v>
      </c>
      <c r="H229">
        <v>151</v>
      </c>
      <c r="I229" t="s">
        <v>42</v>
      </c>
      <c r="J229">
        <v>276</v>
      </c>
      <c r="K229">
        <v>4416</v>
      </c>
      <c r="L229">
        <v>30</v>
      </c>
      <c r="M229" t="s">
        <v>21</v>
      </c>
    </row>
    <row r="230" spans="1:13" x14ac:dyDescent="0.35">
      <c r="A230" t="s">
        <v>267</v>
      </c>
      <c r="B230" s="1">
        <v>45823</v>
      </c>
      <c r="C230" t="s">
        <v>241</v>
      </c>
      <c r="D230" t="s">
        <v>40</v>
      </c>
      <c r="E230">
        <v>290</v>
      </c>
      <c r="F230">
        <v>2</v>
      </c>
      <c r="G230">
        <v>7</v>
      </c>
      <c r="H230">
        <v>285</v>
      </c>
      <c r="I230" t="s">
        <v>30</v>
      </c>
      <c r="J230">
        <v>491</v>
      </c>
      <c r="K230">
        <v>3437</v>
      </c>
      <c r="L230">
        <v>25</v>
      </c>
      <c r="M230" t="s">
        <v>27</v>
      </c>
    </row>
    <row r="231" spans="1:13" x14ac:dyDescent="0.35">
      <c r="A231" t="s">
        <v>268</v>
      </c>
      <c r="B231" s="1">
        <v>45824</v>
      </c>
      <c r="C231" t="s">
        <v>241</v>
      </c>
      <c r="D231" t="s">
        <v>29</v>
      </c>
      <c r="E231">
        <v>379</v>
      </c>
      <c r="F231">
        <v>61</v>
      </c>
      <c r="G231">
        <v>33</v>
      </c>
      <c r="H231">
        <v>407</v>
      </c>
      <c r="I231" t="s">
        <v>30</v>
      </c>
      <c r="J231">
        <v>136</v>
      </c>
      <c r="K231">
        <v>4488</v>
      </c>
      <c r="L231">
        <v>35</v>
      </c>
      <c r="M231" t="s">
        <v>17</v>
      </c>
    </row>
    <row r="232" spans="1:13" x14ac:dyDescent="0.35">
      <c r="A232" t="s">
        <v>269</v>
      </c>
      <c r="B232" s="1">
        <v>45825</v>
      </c>
      <c r="C232" t="s">
        <v>241</v>
      </c>
      <c r="D232" t="s">
        <v>55</v>
      </c>
      <c r="E232">
        <v>115</v>
      </c>
      <c r="F232">
        <v>11</v>
      </c>
      <c r="G232">
        <v>45</v>
      </c>
      <c r="H232">
        <v>81</v>
      </c>
      <c r="I232" t="s">
        <v>30</v>
      </c>
      <c r="J232">
        <v>1408</v>
      </c>
      <c r="K232">
        <v>63360</v>
      </c>
      <c r="L232">
        <v>10</v>
      </c>
      <c r="M232" t="s">
        <v>50</v>
      </c>
    </row>
    <row r="233" spans="1:13" x14ac:dyDescent="0.35">
      <c r="A233" t="s">
        <v>270</v>
      </c>
      <c r="B233" s="1">
        <v>45826</v>
      </c>
      <c r="C233" t="s">
        <v>241</v>
      </c>
      <c r="D233" t="s">
        <v>19</v>
      </c>
      <c r="E233">
        <v>194</v>
      </c>
      <c r="F233">
        <v>74</v>
      </c>
      <c r="G233">
        <v>46</v>
      </c>
      <c r="H233">
        <v>222</v>
      </c>
      <c r="I233" t="s">
        <v>20</v>
      </c>
      <c r="J233">
        <v>1873</v>
      </c>
      <c r="K233">
        <v>86158</v>
      </c>
      <c r="L233">
        <v>8</v>
      </c>
      <c r="M233" t="s">
        <v>21</v>
      </c>
    </row>
    <row r="234" spans="1:13" x14ac:dyDescent="0.35">
      <c r="A234" t="s">
        <v>271</v>
      </c>
      <c r="B234" s="1">
        <v>45827</v>
      </c>
      <c r="C234" t="s">
        <v>241</v>
      </c>
      <c r="D234" t="s">
        <v>45</v>
      </c>
      <c r="E234">
        <v>76</v>
      </c>
      <c r="F234">
        <v>65</v>
      </c>
      <c r="G234">
        <v>15</v>
      </c>
      <c r="H234">
        <v>126</v>
      </c>
      <c r="I234" t="s">
        <v>16</v>
      </c>
      <c r="J234">
        <v>4640</v>
      </c>
      <c r="K234">
        <v>69600</v>
      </c>
      <c r="L234">
        <v>8</v>
      </c>
      <c r="M234" t="s">
        <v>17</v>
      </c>
    </row>
    <row r="235" spans="1:13" x14ac:dyDescent="0.35">
      <c r="A235" t="s">
        <v>272</v>
      </c>
      <c r="B235" s="1">
        <v>45828</v>
      </c>
      <c r="C235" t="s">
        <v>241</v>
      </c>
      <c r="D235" t="s">
        <v>53</v>
      </c>
      <c r="E235">
        <v>322</v>
      </c>
      <c r="F235">
        <v>97</v>
      </c>
      <c r="G235">
        <v>34</v>
      </c>
      <c r="H235">
        <v>385</v>
      </c>
      <c r="I235" t="s">
        <v>16</v>
      </c>
      <c r="J235">
        <v>636</v>
      </c>
      <c r="K235">
        <v>21624</v>
      </c>
      <c r="L235">
        <v>20</v>
      </c>
      <c r="M235" t="s">
        <v>50</v>
      </c>
    </row>
    <row r="236" spans="1:13" x14ac:dyDescent="0.35">
      <c r="A236" t="s">
        <v>273</v>
      </c>
      <c r="B236" s="1">
        <v>45828</v>
      </c>
      <c r="C236" t="s">
        <v>241</v>
      </c>
      <c r="D236" t="s">
        <v>15</v>
      </c>
      <c r="E236">
        <v>440</v>
      </c>
      <c r="F236">
        <v>52</v>
      </c>
      <c r="G236">
        <v>51</v>
      </c>
      <c r="H236">
        <v>441</v>
      </c>
      <c r="I236" t="s">
        <v>42</v>
      </c>
      <c r="J236">
        <v>2571</v>
      </c>
      <c r="K236">
        <v>131121</v>
      </c>
      <c r="L236">
        <v>12</v>
      </c>
      <c r="M236" t="s">
        <v>17</v>
      </c>
    </row>
    <row r="237" spans="1:13" x14ac:dyDescent="0.35">
      <c r="A237" t="s">
        <v>274</v>
      </c>
      <c r="B237" s="1">
        <v>45829</v>
      </c>
      <c r="C237" t="s">
        <v>241</v>
      </c>
      <c r="D237" t="s">
        <v>45</v>
      </c>
      <c r="E237">
        <v>453</v>
      </c>
      <c r="F237">
        <v>54</v>
      </c>
      <c r="G237">
        <v>17</v>
      </c>
      <c r="H237">
        <v>490</v>
      </c>
      <c r="I237" t="s">
        <v>20</v>
      </c>
      <c r="J237">
        <v>5645</v>
      </c>
      <c r="K237">
        <v>95965</v>
      </c>
      <c r="L237">
        <v>8</v>
      </c>
      <c r="M237" t="s">
        <v>27</v>
      </c>
    </row>
    <row r="238" spans="1:13" x14ac:dyDescent="0.35">
      <c r="A238" t="s">
        <v>275</v>
      </c>
      <c r="B238" s="1">
        <v>45830</v>
      </c>
      <c r="C238" t="s">
        <v>241</v>
      </c>
      <c r="D238" t="s">
        <v>53</v>
      </c>
      <c r="E238">
        <v>429</v>
      </c>
      <c r="F238">
        <v>48</v>
      </c>
      <c r="G238">
        <v>17</v>
      </c>
      <c r="H238">
        <v>460</v>
      </c>
      <c r="I238" t="s">
        <v>30</v>
      </c>
      <c r="J238">
        <v>681</v>
      </c>
      <c r="K238">
        <v>11577</v>
      </c>
      <c r="L238">
        <v>20</v>
      </c>
      <c r="M238" t="s">
        <v>24</v>
      </c>
    </row>
    <row r="239" spans="1:13" x14ac:dyDescent="0.35">
      <c r="A239" t="s">
        <v>276</v>
      </c>
      <c r="B239" s="1">
        <v>45831</v>
      </c>
      <c r="C239" t="s">
        <v>241</v>
      </c>
      <c r="D239" t="s">
        <v>19</v>
      </c>
      <c r="E239">
        <v>219</v>
      </c>
      <c r="F239">
        <v>0</v>
      </c>
      <c r="G239">
        <v>11</v>
      </c>
      <c r="H239">
        <v>208</v>
      </c>
      <c r="I239" t="s">
        <v>33</v>
      </c>
      <c r="J239">
        <v>993</v>
      </c>
      <c r="K239">
        <v>10923</v>
      </c>
      <c r="L239">
        <v>8</v>
      </c>
      <c r="M239" t="s">
        <v>21</v>
      </c>
    </row>
    <row r="240" spans="1:13" x14ac:dyDescent="0.35">
      <c r="A240" t="s">
        <v>277</v>
      </c>
      <c r="B240" s="1">
        <v>45832</v>
      </c>
      <c r="C240" t="s">
        <v>241</v>
      </c>
      <c r="D240" t="s">
        <v>19</v>
      </c>
      <c r="E240">
        <v>183</v>
      </c>
      <c r="F240">
        <v>76</v>
      </c>
      <c r="G240">
        <v>44</v>
      </c>
      <c r="H240">
        <v>215</v>
      </c>
      <c r="I240" t="s">
        <v>33</v>
      </c>
      <c r="J240">
        <v>1265</v>
      </c>
      <c r="K240">
        <v>55660</v>
      </c>
      <c r="L240">
        <v>8</v>
      </c>
      <c r="M240" t="s">
        <v>50</v>
      </c>
    </row>
    <row r="241" spans="1:13" x14ac:dyDescent="0.35">
      <c r="A241" t="s">
        <v>278</v>
      </c>
      <c r="B241" s="1">
        <v>45832</v>
      </c>
      <c r="C241" t="s">
        <v>241</v>
      </c>
      <c r="D241" t="s">
        <v>23</v>
      </c>
      <c r="E241">
        <v>443</v>
      </c>
      <c r="F241">
        <v>64</v>
      </c>
      <c r="G241">
        <v>17</v>
      </c>
      <c r="H241">
        <v>490</v>
      </c>
      <c r="I241" t="s">
        <v>30</v>
      </c>
      <c r="J241">
        <v>605</v>
      </c>
      <c r="K241">
        <v>10285</v>
      </c>
      <c r="L241">
        <v>12</v>
      </c>
      <c r="M241" t="s">
        <v>50</v>
      </c>
    </row>
    <row r="242" spans="1:13" x14ac:dyDescent="0.35">
      <c r="A242" t="s">
        <v>279</v>
      </c>
      <c r="B242" s="1">
        <v>45834</v>
      </c>
      <c r="C242" t="s">
        <v>241</v>
      </c>
      <c r="D242" t="s">
        <v>29</v>
      </c>
      <c r="E242">
        <v>105</v>
      </c>
      <c r="F242">
        <v>99</v>
      </c>
      <c r="G242">
        <v>35</v>
      </c>
      <c r="H242">
        <v>169</v>
      </c>
      <c r="I242" t="s">
        <v>33</v>
      </c>
      <c r="J242">
        <v>203</v>
      </c>
      <c r="K242">
        <v>7105</v>
      </c>
      <c r="L242">
        <v>35</v>
      </c>
      <c r="M242" t="s">
        <v>17</v>
      </c>
    </row>
    <row r="243" spans="1:13" x14ac:dyDescent="0.35">
      <c r="A243" t="s">
        <v>280</v>
      </c>
      <c r="B243" s="1">
        <v>45834</v>
      </c>
      <c r="C243" t="s">
        <v>241</v>
      </c>
      <c r="D243" t="s">
        <v>45</v>
      </c>
      <c r="E243">
        <v>369</v>
      </c>
      <c r="F243">
        <v>85</v>
      </c>
      <c r="G243">
        <v>24</v>
      </c>
      <c r="H243">
        <v>430</v>
      </c>
      <c r="I243" t="s">
        <v>30</v>
      </c>
      <c r="J243">
        <v>5648</v>
      </c>
      <c r="K243">
        <v>135552</v>
      </c>
      <c r="L243">
        <v>8</v>
      </c>
      <c r="M243" t="s">
        <v>27</v>
      </c>
    </row>
    <row r="244" spans="1:13" x14ac:dyDescent="0.35">
      <c r="A244" t="s">
        <v>281</v>
      </c>
      <c r="B244" s="1">
        <v>45838</v>
      </c>
      <c r="C244" t="s">
        <v>241</v>
      </c>
      <c r="D244" t="s">
        <v>40</v>
      </c>
      <c r="E244">
        <v>152</v>
      </c>
      <c r="F244">
        <v>81</v>
      </c>
      <c r="G244">
        <v>12</v>
      </c>
      <c r="H244">
        <v>221</v>
      </c>
      <c r="I244" t="s">
        <v>42</v>
      </c>
      <c r="J244">
        <v>376</v>
      </c>
      <c r="K244">
        <v>4512</v>
      </c>
      <c r="L244">
        <v>25</v>
      </c>
      <c r="M244" t="s">
        <v>27</v>
      </c>
    </row>
    <row r="245" spans="1:13" x14ac:dyDescent="0.35">
      <c r="A245" t="s">
        <v>282</v>
      </c>
      <c r="B245" s="1">
        <v>45838</v>
      </c>
      <c r="C245" t="s">
        <v>241</v>
      </c>
      <c r="D245" t="s">
        <v>15</v>
      </c>
      <c r="E245">
        <v>126</v>
      </c>
      <c r="F245">
        <v>17</v>
      </c>
      <c r="G245">
        <v>46</v>
      </c>
      <c r="H245">
        <v>97</v>
      </c>
      <c r="I245" t="s">
        <v>16</v>
      </c>
      <c r="J245">
        <v>2319</v>
      </c>
      <c r="K245">
        <v>106674</v>
      </c>
      <c r="L245">
        <v>12</v>
      </c>
      <c r="M245" t="s">
        <v>21</v>
      </c>
    </row>
    <row r="246" spans="1:13" x14ac:dyDescent="0.35">
      <c r="A246" t="s">
        <v>283</v>
      </c>
      <c r="B246" s="1">
        <v>45839</v>
      </c>
      <c r="C246" t="s">
        <v>284</v>
      </c>
      <c r="D246" t="s">
        <v>53</v>
      </c>
      <c r="E246">
        <v>147</v>
      </c>
      <c r="F246">
        <v>85</v>
      </c>
      <c r="G246">
        <v>17</v>
      </c>
      <c r="H246">
        <v>215</v>
      </c>
      <c r="I246" t="s">
        <v>33</v>
      </c>
      <c r="J246">
        <v>323</v>
      </c>
      <c r="K246">
        <v>5491</v>
      </c>
      <c r="L246">
        <v>20</v>
      </c>
      <c r="M246" t="s">
        <v>24</v>
      </c>
    </row>
    <row r="247" spans="1:13" x14ac:dyDescent="0.35">
      <c r="A247" t="s">
        <v>285</v>
      </c>
      <c r="B247" s="1">
        <v>45840</v>
      </c>
      <c r="C247" t="s">
        <v>284</v>
      </c>
      <c r="D247" t="s">
        <v>19</v>
      </c>
      <c r="E247">
        <v>481</v>
      </c>
      <c r="F247">
        <v>99</v>
      </c>
      <c r="G247">
        <v>3</v>
      </c>
      <c r="H247">
        <v>577</v>
      </c>
      <c r="I247" t="s">
        <v>30</v>
      </c>
      <c r="J247">
        <v>2042</v>
      </c>
      <c r="K247">
        <v>6126</v>
      </c>
      <c r="L247">
        <v>8</v>
      </c>
      <c r="M247" t="s">
        <v>21</v>
      </c>
    </row>
    <row r="248" spans="1:13" x14ac:dyDescent="0.35">
      <c r="A248" t="s">
        <v>286</v>
      </c>
      <c r="B248" s="1">
        <v>45841</v>
      </c>
      <c r="C248" t="s">
        <v>284</v>
      </c>
      <c r="D248" t="s">
        <v>23</v>
      </c>
      <c r="E248">
        <v>285</v>
      </c>
      <c r="F248">
        <v>69</v>
      </c>
      <c r="G248">
        <v>50</v>
      </c>
      <c r="H248">
        <v>304</v>
      </c>
      <c r="I248" t="s">
        <v>30</v>
      </c>
      <c r="J248">
        <v>1592</v>
      </c>
      <c r="K248">
        <v>79600</v>
      </c>
      <c r="L248">
        <v>12</v>
      </c>
      <c r="M248" t="s">
        <v>50</v>
      </c>
    </row>
    <row r="249" spans="1:13" x14ac:dyDescent="0.35">
      <c r="A249" t="s">
        <v>287</v>
      </c>
      <c r="B249" s="1">
        <v>45842</v>
      </c>
      <c r="C249" t="s">
        <v>284</v>
      </c>
      <c r="D249" t="s">
        <v>45</v>
      </c>
      <c r="E249">
        <v>323</v>
      </c>
      <c r="F249">
        <v>73</v>
      </c>
      <c r="G249">
        <v>23</v>
      </c>
      <c r="H249">
        <v>373</v>
      </c>
      <c r="I249" t="s">
        <v>33</v>
      </c>
      <c r="J249">
        <v>5414</v>
      </c>
      <c r="K249">
        <v>124522</v>
      </c>
      <c r="L249">
        <v>8</v>
      </c>
      <c r="M249" t="s">
        <v>17</v>
      </c>
    </row>
    <row r="250" spans="1:13" x14ac:dyDescent="0.35">
      <c r="A250" t="s">
        <v>288</v>
      </c>
      <c r="B250" s="1">
        <v>45843</v>
      </c>
      <c r="C250" t="s">
        <v>284</v>
      </c>
      <c r="D250" t="s">
        <v>29</v>
      </c>
      <c r="E250">
        <v>49</v>
      </c>
      <c r="F250">
        <v>46</v>
      </c>
      <c r="G250">
        <v>19</v>
      </c>
      <c r="H250">
        <v>76</v>
      </c>
      <c r="I250" t="s">
        <v>42</v>
      </c>
      <c r="J250">
        <v>86</v>
      </c>
      <c r="K250">
        <v>1634</v>
      </c>
      <c r="L250">
        <v>35</v>
      </c>
      <c r="M250" t="s">
        <v>21</v>
      </c>
    </row>
    <row r="251" spans="1:13" x14ac:dyDescent="0.35">
      <c r="A251" t="s">
        <v>289</v>
      </c>
      <c r="B251" s="1">
        <v>45843</v>
      </c>
      <c r="C251" t="s">
        <v>284</v>
      </c>
      <c r="D251" t="s">
        <v>53</v>
      </c>
      <c r="E251">
        <v>236</v>
      </c>
      <c r="F251">
        <v>72</v>
      </c>
      <c r="G251">
        <v>2</v>
      </c>
      <c r="H251">
        <v>306</v>
      </c>
      <c r="I251" t="s">
        <v>42</v>
      </c>
      <c r="J251">
        <v>869</v>
      </c>
      <c r="K251">
        <v>1738</v>
      </c>
      <c r="L251">
        <v>20</v>
      </c>
      <c r="M251" t="s">
        <v>50</v>
      </c>
    </row>
    <row r="252" spans="1:13" x14ac:dyDescent="0.35">
      <c r="A252" t="s">
        <v>290</v>
      </c>
      <c r="B252" s="1">
        <v>45845</v>
      </c>
      <c r="C252" t="s">
        <v>284</v>
      </c>
      <c r="D252" t="s">
        <v>29</v>
      </c>
      <c r="E252">
        <v>311</v>
      </c>
      <c r="F252">
        <v>64</v>
      </c>
      <c r="G252">
        <v>58</v>
      </c>
      <c r="H252">
        <v>317</v>
      </c>
      <c r="I252" t="s">
        <v>42</v>
      </c>
      <c r="J252">
        <v>109</v>
      </c>
      <c r="K252">
        <v>6322</v>
      </c>
      <c r="L252">
        <v>35</v>
      </c>
      <c r="M252" t="s">
        <v>21</v>
      </c>
    </row>
    <row r="253" spans="1:13" x14ac:dyDescent="0.35">
      <c r="A253" t="s">
        <v>291</v>
      </c>
      <c r="B253" s="1">
        <v>45845</v>
      </c>
      <c r="C253" t="s">
        <v>284</v>
      </c>
      <c r="D253" t="s">
        <v>23</v>
      </c>
      <c r="E253">
        <v>63</v>
      </c>
      <c r="F253">
        <v>51</v>
      </c>
      <c r="G253">
        <v>3</v>
      </c>
      <c r="H253">
        <v>111</v>
      </c>
      <c r="I253" t="s">
        <v>33</v>
      </c>
      <c r="J253">
        <v>1767</v>
      </c>
      <c r="K253">
        <v>5301</v>
      </c>
      <c r="L253">
        <v>12</v>
      </c>
      <c r="M253" t="s">
        <v>24</v>
      </c>
    </row>
    <row r="254" spans="1:13" x14ac:dyDescent="0.35">
      <c r="A254" t="s">
        <v>292</v>
      </c>
      <c r="B254" s="1">
        <v>45846</v>
      </c>
      <c r="C254" t="s">
        <v>284</v>
      </c>
      <c r="D254" t="s">
        <v>19</v>
      </c>
      <c r="E254">
        <v>354</v>
      </c>
      <c r="F254">
        <v>28</v>
      </c>
      <c r="G254">
        <v>14</v>
      </c>
      <c r="H254">
        <v>368</v>
      </c>
      <c r="I254" t="s">
        <v>16</v>
      </c>
      <c r="J254">
        <v>973</v>
      </c>
      <c r="K254">
        <v>13622</v>
      </c>
      <c r="L254">
        <v>8</v>
      </c>
      <c r="M254" t="s">
        <v>50</v>
      </c>
    </row>
    <row r="255" spans="1:13" x14ac:dyDescent="0.35">
      <c r="A255" t="s">
        <v>293</v>
      </c>
      <c r="B255" s="1">
        <v>45846</v>
      </c>
      <c r="C255" t="s">
        <v>284</v>
      </c>
      <c r="D255" t="s">
        <v>45</v>
      </c>
      <c r="E255">
        <v>209</v>
      </c>
      <c r="F255">
        <v>86</v>
      </c>
      <c r="G255">
        <v>7</v>
      </c>
      <c r="H255">
        <v>288</v>
      </c>
      <c r="I255" t="s">
        <v>33</v>
      </c>
      <c r="J255">
        <v>5206</v>
      </c>
      <c r="K255">
        <v>36442</v>
      </c>
      <c r="L255">
        <v>8</v>
      </c>
      <c r="M255" t="s">
        <v>27</v>
      </c>
    </row>
    <row r="256" spans="1:13" x14ac:dyDescent="0.35">
      <c r="A256" t="s">
        <v>294</v>
      </c>
      <c r="B256" s="1">
        <v>45846</v>
      </c>
      <c r="C256" t="s">
        <v>284</v>
      </c>
      <c r="D256" t="s">
        <v>19</v>
      </c>
      <c r="E256">
        <v>125</v>
      </c>
      <c r="F256">
        <v>77</v>
      </c>
      <c r="G256">
        <v>38</v>
      </c>
      <c r="H256">
        <v>164</v>
      </c>
      <c r="I256" t="s">
        <v>20</v>
      </c>
      <c r="J256">
        <v>2171</v>
      </c>
      <c r="K256">
        <v>82498</v>
      </c>
      <c r="L256">
        <v>8</v>
      </c>
      <c r="M256" t="s">
        <v>50</v>
      </c>
    </row>
    <row r="257" spans="1:13" x14ac:dyDescent="0.35">
      <c r="A257" t="s">
        <v>295</v>
      </c>
      <c r="B257" s="1">
        <v>45846</v>
      </c>
      <c r="C257" t="s">
        <v>284</v>
      </c>
      <c r="D257" t="s">
        <v>26</v>
      </c>
      <c r="E257">
        <v>263</v>
      </c>
      <c r="F257">
        <v>51</v>
      </c>
      <c r="G257">
        <v>47</v>
      </c>
      <c r="H257">
        <v>267</v>
      </c>
      <c r="I257" t="s">
        <v>16</v>
      </c>
      <c r="J257">
        <v>3601</v>
      </c>
      <c r="K257">
        <v>169247</v>
      </c>
      <c r="L257">
        <v>15</v>
      </c>
      <c r="M257" t="s">
        <v>21</v>
      </c>
    </row>
    <row r="258" spans="1:13" x14ac:dyDescent="0.35">
      <c r="A258" t="s">
        <v>296</v>
      </c>
      <c r="B258" s="1">
        <v>45847</v>
      </c>
      <c r="C258" t="s">
        <v>284</v>
      </c>
      <c r="D258" t="s">
        <v>55</v>
      </c>
      <c r="E258">
        <v>200</v>
      </c>
      <c r="F258">
        <v>52</v>
      </c>
      <c r="G258">
        <v>2</v>
      </c>
      <c r="H258">
        <v>250</v>
      </c>
      <c r="I258" t="s">
        <v>42</v>
      </c>
      <c r="J258">
        <v>2052</v>
      </c>
      <c r="K258">
        <v>4104</v>
      </c>
      <c r="L258">
        <v>10</v>
      </c>
      <c r="M258" t="s">
        <v>17</v>
      </c>
    </row>
    <row r="259" spans="1:13" x14ac:dyDescent="0.35">
      <c r="A259" t="s">
        <v>297</v>
      </c>
      <c r="B259" s="1">
        <v>45848</v>
      </c>
      <c r="C259" t="s">
        <v>284</v>
      </c>
      <c r="D259" t="s">
        <v>38</v>
      </c>
      <c r="E259">
        <v>323</v>
      </c>
      <c r="F259">
        <v>13</v>
      </c>
      <c r="G259">
        <v>45</v>
      </c>
      <c r="H259">
        <v>291</v>
      </c>
      <c r="I259" t="s">
        <v>20</v>
      </c>
      <c r="J259">
        <v>344</v>
      </c>
      <c r="K259">
        <v>15480</v>
      </c>
      <c r="L259">
        <v>30</v>
      </c>
      <c r="M259" t="s">
        <v>21</v>
      </c>
    </row>
    <row r="260" spans="1:13" x14ac:dyDescent="0.35">
      <c r="A260" t="s">
        <v>298</v>
      </c>
      <c r="B260" s="1">
        <v>45848</v>
      </c>
      <c r="C260" t="s">
        <v>284</v>
      </c>
      <c r="D260" t="s">
        <v>26</v>
      </c>
      <c r="E260">
        <v>380</v>
      </c>
      <c r="F260">
        <v>83</v>
      </c>
      <c r="G260">
        <v>10</v>
      </c>
      <c r="H260">
        <v>453</v>
      </c>
      <c r="I260" t="s">
        <v>16</v>
      </c>
      <c r="J260">
        <v>2012</v>
      </c>
      <c r="K260">
        <v>20120</v>
      </c>
      <c r="L260">
        <v>15</v>
      </c>
      <c r="M260" t="s">
        <v>21</v>
      </c>
    </row>
    <row r="261" spans="1:13" x14ac:dyDescent="0.35">
      <c r="A261" t="s">
        <v>299</v>
      </c>
      <c r="B261" s="1">
        <v>45848</v>
      </c>
      <c r="C261" t="s">
        <v>284</v>
      </c>
      <c r="D261" t="s">
        <v>53</v>
      </c>
      <c r="E261">
        <v>267</v>
      </c>
      <c r="F261">
        <v>97</v>
      </c>
      <c r="G261">
        <v>4</v>
      </c>
      <c r="H261">
        <v>360</v>
      </c>
      <c r="I261" t="s">
        <v>42</v>
      </c>
      <c r="J261">
        <v>837</v>
      </c>
      <c r="K261">
        <v>3348</v>
      </c>
      <c r="L261">
        <v>20</v>
      </c>
      <c r="M261" t="s">
        <v>50</v>
      </c>
    </row>
    <row r="262" spans="1:13" x14ac:dyDescent="0.35">
      <c r="A262" t="s">
        <v>300</v>
      </c>
      <c r="B262" s="1">
        <v>45848</v>
      </c>
      <c r="C262" t="s">
        <v>284</v>
      </c>
      <c r="D262" t="s">
        <v>15</v>
      </c>
      <c r="E262">
        <v>104</v>
      </c>
      <c r="F262">
        <v>95</v>
      </c>
      <c r="G262">
        <v>49</v>
      </c>
      <c r="H262">
        <v>150</v>
      </c>
      <c r="I262" t="s">
        <v>30</v>
      </c>
      <c r="J262">
        <v>2988</v>
      </c>
      <c r="K262">
        <v>146412</v>
      </c>
      <c r="L262">
        <v>12</v>
      </c>
      <c r="M262" t="s">
        <v>21</v>
      </c>
    </row>
    <row r="263" spans="1:13" x14ac:dyDescent="0.35">
      <c r="A263" t="s">
        <v>301</v>
      </c>
      <c r="B263" s="1">
        <v>45849</v>
      </c>
      <c r="C263" t="s">
        <v>284</v>
      </c>
      <c r="D263" t="s">
        <v>38</v>
      </c>
      <c r="E263">
        <v>240</v>
      </c>
      <c r="F263">
        <v>59</v>
      </c>
      <c r="G263">
        <v>49</v>
      </c>
      <c r="H263">
        <v>250</v>
      </c>
      <c r="I263" t="s">
        <v>42</v>
      </c>
      <c r="J263">
        <v>336</v>
      </c>
      <c r="K263">
        <v>16464</v>
      </c>
      <c r="L263">
        <v>30</v>
      </c>
      <c r="M263" t="s">
        <v>21</v>
      </c>
    </row>
    <row r="264" spans="1:13" x14ac:dyDescent="0.35">
      <c r="A264" t="s">
        <v>302</v>
      </c>
      <c r="B264" s="1">
        <v>45849</v>
      </c>
      <c r="C264" t="s">
        <v>284</v>
      </c>
      <c r="D264" t="s">
        <v>19</v>
      </c>
      <c r="E264">
        <v>118</v>
      </c>
      <c r="F264">
        <v>87</v>
      </c>
      <c r="G264">
        <v>59</v>
      </c>
      <c r="H264">
        <v>146</v>
      </c>
      <c r="I264" t="s">
        <v>20</v>
      </c>
      <c r="J264">
        <v>1671</v>
      </c>
      <c r="K264">
        <v>98589</v>
      </c>
      <c r="L264">
        <v>8</v>
      </c>
      <c r="M264" t="s">
        <v>50</v>
      </c>
    </row>
    <row r="265" spans="1:13" x14ac:dyDescent="0.35">
      <c r="A265" t="s">
        <v>303</v>
      </c>
      <c r="B265" s="1">
        <v>45849</v>
      </c>
      <c r="C265" t="s">
        <v>284</v>
      </c>
      <c r="D265" t="s">
        <v>15</v>
      </c>
      <c r="E265">
        <v>430</v>
      </c>
      <c r="F265">
        <v>20</v>
      </c>
      <c r="G265">
        <v>34</v>
      </c>
      <c r="H265">
        <v>416</v>
      </c>
      <c r="I265" t="s">
        <v>33</v>
      </c>
      <c r="J265">
        <v>2794</v>
      </c>
      <c r="K265">
        <v>94996</v>
      </c>
      <c r="L265">
        <v>12</v>
      </c>
      <c r="M265" t="s">
        <v>21</v>
      </c>
    </row>
    <row r="266" spans="1:13" x14ac:dyDescent="0.35">
      <c r="A266" t="s">
        <v>304</v>
      </c>
      <c r="B266" s="1">
        <v>45850</v>
      </c>
      <c r="C266" t="s">
        <v>284</v>
      </c>
      <c r="D266" t="s">
        <v>53</v>
      </c>
      <c r="E266">
        <v>183</v>
      </c>
      <c r="F266">
        <v>100</v>
      </c>
      <c r="G266">
        <v>25</v>
      </c>
      <c r="H266">
        <v>258</v>
      </c>
      <c r="I266" t="s">
        <v>20</v>
      </c>
      <c r="J266">
        <v>623</v>
      </c>
      <c r="K266">
        <v>15575</v>
      </c>
      <c r="L266">
        <v>20</v>
      </c>
      <c r="M266" t="s">
        <v>24</v>
      </c>
    </row>
    <row r="267" spans="1:13" x14ac:dyDescent="0.35">
      <c r="A267" t="s">
        <v>305</v>
      </c>
      <c r="B267" s="1">
        <v>45852</v>
      </c>
      <c r="C267" t="s">
        <v>284</v>
      </c>
      <c r="D267" t="s">
        <v>19</v>
      </c>
      <c r="E267">
        <v>278</v>
      </c>
      <c r="F267">
        <v>68</v>
      </c>
      <c r="G267">
        <v>41</v>
      </c>
      <c r="H267">
        <v>305</v>
      </c>
      <c r="I267" t="s">
        <v>30</v>
      </c>
      <c r="J267">
        <v>1435</v>
      </c>
      <c r="K267">
        <v>58835</v>
      </c>
      <c r="L267">
        <v>8</v>
      </c>
      <c r="M267" t="s">
        <v>21</v>
      </c>
    </row>
    <row r="268" spans="1:13" x14ac:dyDescent="0.35">
      <c r="A268" t="s">
        <v>306</v>
      </c>
      <c r="B268" s="1">
        <v>45852</v>
      </c>
      <c r="C268" t="s">
        <v>284</v>
      </c>
      <c r="D268" t="s">
        <v>29</v>
      </c>
      <c r="E268">
        <v>461</v>
      </c>
      <c r="F268">
        <v>29</v>
      </c>
      <c r="G268">
        <v>15</v>
      </c>
      <c r="H268">
        <v>475</v>
      </c>
      <c r="I268" t="s">
        <v>30</v>
      </c>
      <c r="J268">
        <v>157</v>
      </c>
      <c r="K268">
        <v>2355</v>
      </c>
      <c r="L268">
        <v>35</v>
      </c>
      <c r="M268" t="s">
        <v>17</v>
      </c>
    </row>
    <row r="269" spans="1:13" x14ac:dyDescent="0.35">
      <c r="A269" t="s">
        <v>307</v>
      </c>
      <c r="B269" s="1">
        <v>45852</v>
      </c>
      <c r="C269" t="s">
        <v>284</v>
      </c>
      <c r="D269" t="s">
        <v>29</v>
      </c>
      <c r="E269">
        <v>270</v>
      </c>
      <c r="F269">
        <v>56</v>
      </c>
      <c r="G269">
        <v>19</v>
      </c>
      <c r="H269">
        <v>307</v>
      </c>
      <c r="I269" t="s">
        <v>16</v>
      </c>
      <c r="J269">
        <v>190</v>
      </c>
      <c r="K269">
        <v>3610</v>
      </c>
      <c r="L269">
        <v>35</v>
      </c>
      <c r="M269" t="s">
        <v>21</v>
      </c>
    </row>
    <row r="270" spans="1:13" x14ac:dyDescent="0.35">
      <c r="A270" t="s">
        <v>308</v>
      </c>
      <c r="B270" s="1">
        <v>45852</v>
      </c>
      <c r="C270" t="s">
        <v>284</v>
      </c>
      <c r="D270" t="s">
        <v>29</v>
      </c>
      <c r="E270">
        <v>202</v>
      </c>
      <c r="F270">
        <v>80</v>
      </c>
      <c r="G270">
        <v>45</v>
      </c>
      <c r="H270">
        <v>237</v>
      </c>
      <c r="I270" t="s">
        <v>33</v>
      </c>
      <c r="J270">
        <v>164</v>
      </c>
      <c r="K270">
        <v>7380</v>
      </c>
      <c r="L270">
        <v>35</v>
      </c>
      <c r="M270" t="s">
        <v>17</v>
      </c>
    </row>
    <row r="271" spans="1:13" x14ac:dyDescent="0.35">
      <c r="A271" t="s">
        <v>309</v>
      </c>
      <c r="B271" s="1">
        <v>45852</v>
      </c>
      <c r="C271" t="s">
        <v>284</v>
      </c>
      <c r="D271" t="s">
        <v>15</v>
      </c>
      <c r="E271">
        <v>404</v>
      </c>
      <c r="F271">
        <v>100</v>
      </c>
      <c r="G271">
        <v>40</v>
      </c>
      <c r="H271">
        <v>464</v>
      </c>
      <c r="I271" t="s">
        <v>16</v>
      </c>
      <c r="J271">
        <v>1515</v>
      </c>
      <c r="K271">
        <v>60600</v>
      </c>
      <c r="L271">
        <v>12</v>
      </c>
      <c r="M271" t="s">
        <v>17</v>
      </c>
    </row>
    <row r="272" spans="1:13" x14ac:dyDescent="0.35">
      <c r="A272" t="s">
        <v>310</v>
      </c>
      <c r="B272" s="1">
        <v>45852</v>
      </c>
      <c r="C272" t="s">
        <v>284</v>
      </c>
      <c r="D272" t="s">
        <v>23</v>
      </c>
      <c r="E272">
        <v>233</v>
      </c>
      <c r="F272">
        <v>70</v>
      </c>
      <c r="G272">
        <v>30</v>
      </c>
      <c r="H272">
        <v>273</v>
      </c>
      <c r="I272" t="s">
        <v>20</v>
      </c>
      <c r="J272">
        <v>714</v>
      </c>
      <c r="K272">
        <v>21420</v>
      </c>
      <c r="L272">
        <v>12</v>
      </c>
      <c r="M272" t="s">
        <v>24</v>
      </c>
    </row>
    <row r="273" spans="1:13" x14ac:dyDescent="0.35">
      <c r="A273" t="s">
        <v>311</v>
      </c>
      <c r="B273" s="1">
        <v>45853</v>
      </c>
      <c r="C273" t="s">
        <v>284</v>
      </c>
      <c r="D273" t="s">
        <v>23</v>
      </c>
      <c r="E273">
        <v>345</v>
      </c>
      <c r="F273">
        <v>59</v>
      </c>
      <c r="G273">
        <v>33</v>
      </c>
      <c r="H273">
        <v>371</v>
      </c>
      <c r="I273" t="s">
        <v>33</v>
      </c>
      <c r="J273">
        <v>1114</v>
      </c>
      <c r="K273">
        <v>36762</v>
      </c>
      <c r="L273">
        <v>12</v>
      </c>
      <c r="M273" t="s">
        <v>24</v>
      </c>
    </row>
    <row r="274" spans="1:13" x14ac:dyDescent="0.35">
      <c r="A274" t="s">
        <v>312</v>
      </c>
      <c r="B274" s="1">
        <v>45854</v>
      </c>
      <c r="C274" t="s">
        <v>284</v>
      </c>
      <c r="D274" t="s">
        <v>55</v>
      </c>
      <c r="E274">
        <v>476</v>
      </c>
      <c r="F274">
        <v>61</v>
      </c>
      <c r="G274">
        <v>6</v>
      </c>
      <c r="H274">
        <v>531</v>
      </c>
      <c r="I274" t="s">
        <v>16</v>
      </c>
      <c r="J274">
        <v>1385</v>
      </c>
      <c r="K274">
        <v>8310</v>
      </c>
      <c r="L274">
        <v>10</v>
      </c>
      <c r="M274" t="s">
        <v>50</v>
      </c>
    </row>
    <row r="275" spans="1:13" x14ac:dyDescent="0.35">
      <c r="A275" t="s">
        <v>313</v>
      </c>
      <c r="B275" s="1">
        <v>45854</v>
      </c>
      <c r="C275" t="s">
        <v>284</v>
      </c>
      <c r="D275" t="s">
        <v>53</v>
      </c>
      <c r="E275">
        <v>116</v>
      </c>
      <c r="F275">
        <v>22</v>
      </c>
      <c r="G275">
        <v>59</v>
      </c>
      <c r="H275">
        <v>79</v>
      </c>
      <c r="I275" t="s">
        <v>33</v>
      </c>
      <c r="J275">
        <v>286</v>
      </c>
      <c r="K275">
        <v>16874</v>
      </c>
      <c r="L275">
        <v>20</v>
      </c>
      <c r="M275" t="s">
        <v>50</v>
      </c>
    </row>
    <row r="276" spans="1:13" x14ac:dyDescent="0.35">
      <c r="A276" t="s">
        <v>314</v>
      </c>
      <c r="B276" s="1">
        <v>45857</v>
      </c>
      <c r="C276" t="s">
        <v>284</v>
      </c>
      <c r="D276" t="s">
        <v>45</v>
      </c>
      <c r="E276">
        <v>175</v>
      </c>
      <c r="F276">
        <v>100</v>
      </c>
      <c r="G276">
        <v>50</v>
      </c>
      <c r="H276">
        <v>225</v>
      </c>
      <c r="I276" t="s">
        <v>30</v>
      </c>
      <c r="J276">
        <v>5363</v>
      </c>
      <c r="K276">
        <v>268150</v>
      </c>
      <c r="L276">
        <v>8</v>
      </c>
      <c r="M276" t="s">
        <v>27</v>
      </c>
    </row>
    <row r="277" spans="1:13" x14ac:dyDescent="0.35">
      <c r="A277" t="s">
        <v>315</v>
      </c>
      <c r="B277" s="1">
        <v>45859</v>
      </c>
      <c r="C277" t="s">
        <v>284</v>
      </c>
      <c r="D277" t="s">
        <v>15</v>
      </c>
      <c r="E277">
        <v>355</v>
      </c>
      <c r="F277">
        <v>94</v>
      </c>
      <c r="G277">
        <v>53</v>
      </c>
      <c r="H277">
        <v>396</v>
      </c>
      <c r="I277" t="s">
        <v>33</v>
      </c>
      <c r="J277">
        <v>1812</v>
      </c>
      <c r="K277">
        <v>96036</v>
      </c>
      <c r="L277">
        <v>12</v>
      </c>
      <c r="M277" t="s">
        <v>17</v>
      </c>
    </row>
    <row r="278" spans="1:13" x14ac:dyDescent="0.35">
      <c r="A278" t="s">
        <v>316</v>
      </c>
      <c r="B278" s="1">
        <v>45860</v>
      </c>
      <c r="C278" t="s">
        <v>284</v>
      </c>
      <c r="D278" t="s">
        <v>45</v>
      </c>
      <c r="E278">
        <v>210</v>
      </c>
      <c r="F278">
        <v>79</v>
      </c>
      <c r="G278">
        <v>24</v>
      </c>
      <c r="H278">
        <v>265</v>
      </c>
      <c r="I278" t="s">
        <v>16</v>
      </c>
      <c r="J278">
        <v>4849</v>
      </c>
      <c r="K278">
        <v>116376</v>
      </c>
      <c r="L278">
        <v>8</v>
      </c>
      <c r="M278" t="s">
        <v>27</v>
      </c>
    </row>
    <row r="279" spans="1:13" x14ac:dyDescent="0.35">
      <c r="A279" t="s">
        <v>317</v>
      </c>
      <c r="B279" s="1">
        <v>45860</v>
      </c>
      <c r="C279" t="s">
        <v>284</v>
      </c>
      <c r="D279" t="s">
        <v>26</v>
      </c>
      <c r="E279">
        <v>47</v>
      </c>
      <c r="F279">
        <v>33</v>
      </c>
      <c r="G279">
        <v>34</v>
      </c>
      <c r="H279">
        <v>46</v>
      </c>
      <c r="I279" t="s">
        <v>16</v>
      </c>
      <c r="J279">
        <v>2306</v>
      </c>
      <c r="K279">
        <v>78404</v>
      </c>
      <c r="L279">
        <v>15</v>
      </c>
      <c r="M279" t="s">
        <v>21</v>
      </c>
    </row>
    <row r="280" spans="1:13" x14ac:dyDescent="0.35">
      <c r="A280" t="s">
        <v>318</v>
      </c>
      <c r="B280" s="1">
        <v>45860</v>
      </c>
      <c r="C280" t="s">
        <v>284</v>
      </c>
      <c r="D280" t="s">
        <v>45</v>
      </c>
      <c r="E280">
        <v>297</v>
      </c>
      <c r="F280">
        <v>47</v>
      </c>
      <c r="G280">
        <v>15</v>
      </c>
      <c r="H280">
        <v>329</v>
      </c>
      <c r="I280" t="s">
        <v>20</v>
      </c>
      <c r="J280">
        <v>5081</v>
      </c>
      <c r="K280">
        <v>76215</v>
      </c>
      <c r="L280">
        <v>8</v>
      </c>
      <c r="M280" t="s">
        <v>27</v>
      </c>
    </row>
    <row r="281" spans="1:13" x14ac:dyDescent="0.35">
      <c r="A281" t="s">
        <v>319</v>
      </c>
      <c r="B281" s="1">
        <v>45861</v>
      </c>
      <c r="C281" t="s">
        <v>284</v>
      </c>
      <c r="D281" t="s">
        <v>29</v>
      </c>
      <c r="E281">
        <v>457</v>
      </c>
      <c r="F281">
        <v>69</v>
      </c>
      <c r="G281">
        <v>30</v>
      </c>
      <c r="H281">
        <v>496</v>
      </c>
      <c r="I281" t="s">
        <v>20</v>
      </c>
      <c r="J281">
        <v>104</v>
      </c>
      <c r="K281">
        <v>3120</v>
      </c>
      <c r="L281">
        <v>35</v>
      </c>
      <c r="M281" t="s">
        <v>17</v>
      </c>
    </row>
    <row r="282" spans="1:13" x14ac:dyDescent="0.35">
      <c r="A282" t="s">
        <v>320</v>
      </c>
      <c r="B282" s="1">
        <v>45861</v>
      </c>
      <c r="C282" t="s">
        <v>284</v>
      </c>
      <c r="D282" t="s">
        <v>26</v>
      </c>
      <c r="E282">
        <v>481</v>
      </c>
      <c r="F282">
        <v>94</v>
      </c>
      <c r="G282">
        <v>2</v>
      </c>
      <c r="H282">
        <v>573</v>
      </c>
      <c r="I282" t="s">
        <v>20</v>
      </c>
      <c r="J282">
        <v>3586</v>
      </c>
      <c r="K282">
        <v>7172</v>
      </c>
      <c r="L282">
        <v>15</v>
      </c>
      <c r="M282" t="s">
        <v>21</v>
      </c>
    </row>
    <row r="283" spans="1:13" x14ac:dyDescent="0.35">
      <c r="A283" t="s">
        <v>321</v>
      </c>
      <c r="B283" s="1">
        <v>45862</v>
      </c>
      <c r="C283" t="s">
        <v>284</v>
      </c>
      <c r="D283" t="s">
        <v>38</v>
      </c>
      <c r="E283">
        <v>252</v>
      </c>
      <c r="F283">
        <v>93</v>
      </c>
      <c r="G283">
        <v>6</v>
      </c>
      <c r="H283">
        <v>339</v>
      </c>
      <c r="I283" t="s">
        <v>16</v>
      </c>
      <c r="J283">
        <v>240</v>
      </c>
      <c r="K283">
        <v>1440</v>
      </c>
      <c r="L283">
        <v>30</v>
      </c>
      <c r="M283" t="s">
        <v>21</v>
      </c>
    </row>
    <row r="284" spans="1:13" x14ac:dyDescent="0.35">
      <c r="A284" t="s">
        <v>322</v>
      </c>
      <c r="B284" s="1">
        <v>45862</v>
      </c>
      <c r="C284" t="s">
        <v>284</v>
      </c>
      <c r="D284" t="s">
        <v>55</v>
      </c>
      <c r="E284">
        <v>208</v>
      </c>
      <c r="F284">
        <v>35</v>
      </c>
      <c r="G284">
        <v>55</v>
      </c>
      <c r="H284">
        <v>188</v>
      </c>
      <c r="I284" t="s">
        <v>30</v>
      </c>
      <c r="J284">
        <v>1042</v>
      </c>
      <c r="K284">
        <v>57310</v>
      </c>
      <c r="L284">
        <v>10</v>
      </c>
      <c r="M284" t="s">
        <v>50</v>
      </c>
    </row>
    <row r="285" spans="1:13" x14ac:dyDescent="0.35">
      <c r="A285" t="s">
        <v>323</v>
      </c>
      <c r="B285" s="1">
        <v>45862</v>
      </c>
      <c r="C285" t="s">
        <v>284</v>
      </c>
      <c r="D285" t="s">
        <v>40</v>
      </c>
      <c r="E285">
        <v>225</v>
      </c>
      <c r="F285">
        <v>28</v>
      </c>
      <c r="G285">
        <v>8</v>
      </c>
      <c r="H285">
        <v>245</v>
      </c>
      <c r="I285" t="s">
        <v>16</v>
      </c>
      <c r="J285">
        <v>641</v>
      </c>
      <c r="K285">
        <v>5128</v>
      </c>
      <c r="L285">
        <v>25</v>
      </c>
      <c r="M285" t="s">
        <v>27</v>
      </c>
    </row>
    <row r="286" spans="1:13" x14ac:dyDescent="0.35">
      <c r="A286" t="s">
        <v>324</v>
      </c>
      <c r="B286" s="1">
        <v>45862</v>
      </c>
      <c r="C286" t="s">
        <v>284</v>
      </c>
      <c r="D286" t="s">
        <v>29</v>
      </c>
      <c r="E286">
        <v>387</v>
      </c>
      <c r="F286">
        <v>68</v>
      </c>
      <c r="G286">
        <v>21</v>
      </c>
      <c r="H286">
        <v>434</v>
      </c>
      <c r="I286" t="s">
        <v>20</v>
      </c>
      <c r="J286">
        <v>47</v>
      </c>
      <c r="K286">
        <v>987</v>
      </c>
      <c r="L286">
        <v>35</v>
      </c>
      <c r="M286" t="s">
        <v>21</v>
      </c>
    </row>
    <row r="287" spans="1:13" x14ac:dyDescent="0.35">
      <c r="A287" t="s">
        <v>325</v>
      </c>
      <c r="B287" s="1">
        <v>45862</v>
      </c>
      <c r="C287" t="s">
        <v>284</v>
      </c>
      <c r="D287" t="s">
        <v>19</v>
      </c>
      <c r="E287">
        <v>383</v>
      </c>
      <c r="F287">
        <v>83</v>
      </c>
      <c r="G287">
        <v>23</v>
      </c>
      <c r="H287">
        <v>443</v>
      </c>
      <c r="I287" t="s">
        <v>33</v>
      </c>
      <c r="J287">
        <v>1597</v>
      </c>
      <c r="K287">
        <v>36731</v>
      </c>
      <c r="L287">
        <v>8</v>
      </c>
      <c r="M287" t="s">
        <v>21</v>
      </c>
    </row>
    <row r="288" spans="1:13" x14ac:dyDescent="0.35">
      <c r="A288" t="s">
        <v>326</v>
      </c>
      <c r="B288" s="1">
        <v>45863</v>
      </c>
      <c r="C288" t="s">
        <v>284</v>
      </c>
      <c r="D288" t="s">
        <v>55</v>
      </c>
      <c r="E288">
        <v>230</v>
      </c>
      <c r="F288">
        <v>87</v>
      </c>
      <c r="G288">
        <v>40</v>
      </c>
      <c r="H288">
        <v>277</v>
      </c>
      <c r="I288" t="s">
        <v>20</v>
      </c>
      <c r="J288">
        <v>2220</v>
      </c>
      <c r="K288">
        <v>88800</v>
      </c>
      <c r="L288">
        <v>10</v>
      </c>
      <c r="M288" t="s">
        <v>50</v>
      </c>
    </row>
    <row r="289" spans="1:13" x14ac:dyDescent="0.35">
      <c r="A289" t="s">
        <v>327</v>
      </c>
      <c r="B289" s="1">
        <v>45865</v>
      </c>
      <c r="C289" t="s">
        <v>284</v>
      </c>
      <c r="D289" t="s">
        <v>15</v>
      </c>
      <c r="E289">
        <v>391</v>
      </c>
      <c r="F289">
        <v>64</v>
      </c>
      <c r="G289">
        <v>59</v>
      </c>
      <c r="H289">
        <v>396</v>
      </c>
      <c r="I289" t="s">
        <v>30</v>
      </c>
      <c r="J289">
        <v>2640</v>
      </c>
      <c r="K289">
        <v>155760</v>
      </c>
      <c r="L289">
        <v>12</v>
      </c>
      <c r="M289" t="s">
        <v>21</v>
      </c>
    </row>
    <row r="290" spans="1:13" x14ac:dyDescent="0.35">
      <c r="A290" t="s">
        <v>328</v>
      </c>
      <c r="B290" s="1">
        <v>45865</v>
      </c>
      <c r="C290" t="s">
        <v>284</v>
      </c>
      <c r="D290" t="s">
        <v>55</v>
      </c>
      <c r="E290">
        <v>394</v>
      </c>
      <c r="F290">
        <v>31</v>
      </c>
      <c r="G290">
        <v>19</v>
      </c>
      <c r="H290">
        <v>406</v>
      </c>
      <c r="I290" t="s">
        <v>33</v>
      </c>
      <c r="J290">
        <v>2259</v>
      </c>
      <c r="K290">
        <v>42921</v>
      </c>
      <c r="L290">
        <v>10</v>
      </c>
      <c r="M290" t="s">
        <v>50</v>
      </c>
    </row>
    <row r="291" spans="1:13" x14ac:dyDescent="0.35">
      <c r="A291" t="s">
        <v>329</v>
      </c>
      <c r="B291" s="1">
        <v>45865</v>
      </c>
      <c r="C291" t="s">
        <v>284</v>
      </c>
      <c r="D291" t="s">
        <v>26</v>
      </c>
      <c r="E291">
        <v>50</v>
      </c>
      <c r="F291">
        <v>41</v>
      </c>
      <c r="G291">
        <v>10</v>
      </c>
      <c r="H291">
        <v>81</v>
      </c>
      <c r="I291" t="s">
        <v>30</v>
      </c>
      <c r="J291">
        <v>3684</v>
      </c>
      <c r="K291">
        <v>36840</v>
      </c>
      <c r="L291">
        <v>15</v>
      </c>
      <c r="M291" t="s">
        <v>27</v>
      </c>
    </row>
    <row r="292" spans="1:13" x14ac:dyDescent="0.35">
      <c r="A292" t="s">
        <v>330</v>
      </c>
      <c r="B292" s="1">
        <v>45867</v>
      </c>
      <c r="C292" t="s">
        <v>284</v>
      </c>
      <c r="D292" t="s">
        <v>53</v>
      </c>
      <c r="E292">
        <v>210</v>
      </c>
      <c r="F292">
        <v>41</v>
      </c>
      <c r="G292">
        <v>42</v>
      </c>
      <c r="H292">
        <v>209</v>
      </c>
      <c r="I292" t="s">
        <v>42</v>
      </c>
      <c r="J292">
        <v>357</v>
      </c>
      <c r="K292">
        <v>14994</v>
      </c>
      <c r="L292">
        <v>20</v>
      </c>
      <c r="M292" t="s">
        <v>50</v>
      </c>
    </row>
    <row r="293" spans="1:13" x14ac:dyDescent="0.35">
      <c r="A293" t="s">
        <v>331</v>
      </c>
      <c r="B293" s="1">
        <v>45867</v>
      </c>
      <c r="C293" t="s">
        <v>284</v>
      </c>
      <c r="D293" t="s">
        <v>23</v>
      </c>
      <c r="E293">
        <v>436</v>
      </c>
      <c r="F293">
        <v>43</v>
      </c>
      <c r="G293">
        <v>43</v>
      </c>
      <c r="H293">
        <v>436</v>
      </c>
      <c r="I293" t="s">
        <v>30</v>
      </c>
      <c r="J293">
        <v>707</v>
      </c>
      <c r="K293">
        <v>30401</v>
      </c>
      <c r="L293">
        <v>12</v>
      </c>
      <c r="M293" t="s">
        <v>24</v>
      </c>
    </row>
    <row r="294" spans="1:13" x14ac:dyDescent="0.35">
      <c r="A294" t="s">
        <v>332</v>
      </c>
      <c r="B294" s="1">
        <v>45867</v>
      </c>
      <c r="C294" t="s">
        <v>284</v>
      </c>
      <c r="D294" t="s">
        <v>19</v>
      </c>
      <c r="E294">
        <v>132</v>
      </c>
      <c r="F294">
        <v>98</v>
      </c>
      <c r="G294">
        <v>8</v>
      </c>
      <c r="H294">
        <v>222</v>
      </c>
      <c r="I294" t="s">
        <v>16</v>
      </c>
      <c r="J294">
        <v>2013</v>
      </c>
      <c r="K294">
        <v>16104</v>
      </c>
      <c r="L294">
        <v>8</v>
      </c>
      <c r="M294" t="s">
        <v>21</v>
      </c>
    </row>
    <row r="295" spans="1:13" x14ac:dyDescent="0.35">
      <c r="A295" t="s">
        <v>333</v>
      </c>
      <c r="B295" s="1">
        <v>45870</v>
      </c>
      <c r="C295" t="s">
        <v>334</v>
      </c>
      <c r="D295" t="s">
        <v>38</v>
      </c>
      <c r="E295">
        <v>403</v>
      </c>
      <c r="F295">
        <v>56</v>
      </c>
      <c r="G295">
        <v>31</v>
      </c>
      <c r="H295">
        <v>428</v>
      </c>
      <c r="I295" t="s">
        <v>20</v>
      </c>
      <c r="J295">
        <v>165</v>
      </c>
      <c r="K295">
        <v>5115</v>
      </c>
      <c r="L295">
        <v>30</v>
      </c>
      <c r="M295" t="s">
        <v>17</v>
      </c>
    </row>
    <row r="296" spans="1:13" x14ac:dyDescent="0.35">
      <c r="A296" t="s">
        <v>335</v>
      </c>
      <c r="B296" s="1">
        <v>45871</v>
      </c>
      <c r="C296" t="s">
        <v>334</v>
      </c>
      <c r="D296" t="s">
        <v>40</v>
      </c>
      <c r="E296">
        <v>356</v>
      </c>
      <c r="F296">
        <v>81</v>
      </c>
      <c r="G296">
        <v>1</v>
      </c>
      <c r="H296">
        <v>436</v>
      </c>
      <c r="I296" t="s">
        <v>33</v>
      </c>
      <c r="J296">
        <v>629</v>
      </c>
      <c r="K296">
        <v>629</v>
      </c>
      <c r="L296">
        <v>25</v>
      </c>
      <c r="M296" t="s">
        <v>21</v>
      </c>
    </row>
    <row r="297" spans="1:13" x14ac:dyDescent="0.35">
      <c r="A297" t="s">
        <v>336</v>
      </c>
      <c r="B297" s="1">
        <v>45872</v>
      </c>
      <c r="C297" t="s">
        <v>334</v>
      </c>
      <c r="D297" t="s">
        <v>23</v>
      </c>
      <c r="E297">
        <v>272</v>
      </c>
      <c r="F297">
        <v>43</v>
      </c>
      <c r="G297">
        <v>10</v>
      </c>
      <c r="H297">
        <v>305</v>
      </c>
      <c r="I297" t="s">
        <v>30</v>
      </c>
      <c r="J297">
        <v>1357</v>
      </c>
      <c r="K297">
        <v>13570</v>
      </c>
      <c r="L297">
        <v>12</v>
      </c>
      <c r="M297" t="s">
        <v>50</v>
      </c>
    </row>
    <row r="298" spans="1:13" x14ac:dyDescent="0.35">
      <c r="A298" t="s">
        <v>337</v>
      </c>
      <c r="B298" s="1">
        <v>45872</v>
      </c>
      <c r="C298" t="s">
        <v>334</v>
      </c>
      <c r="D298" t="s">
        <v>40</v>
      </c>
      <c r="E298">
        <v>167</v>
      </c>
      <c r="F298">
        <v>20</v>
      </c>
      <c r="G298">
        <v>52</v>
      </c>
      <c r="H298">
        <v>135</v>
      </c>
      <c r="I298" t="s">
        <v>33</v>
      </c>
      <c r="J298">
        <v>455</v>
      </c>
      <c r="K298">
        <v>23660</v>
      </c>
      <c r="L298">
        <v>25</v>
      </c>
      <c r="M298" t="s">
        <v>21</v>
      </c>
    </row>
    <row r="299" spans="1:13" x14ac:dyDescent="0.35">
      <c r="A299" t="s">
        <v>338</v>
      </c>
      <c r="B299" s="1">
        <v>45875</v>
      </c>
      <c r="C299" t="s">
        <v>334</v>
      </c>
      <c r="D299" t="s">
        <v>26</v>
      </c>
      <c r="E299">
        <v>80</v>
      </c>
      <c r="F299">
        <v>55</v>
      </c>
      <c r="G299">
        <v>38</v>
      </c>
      <c r="H299">
        <v>97</v>
      </c>
      <c r="I299" t="s">
        <v>33</v>
      </c>
      <c r="J299">
        <v>2539</v>
      </c>
      <c r="K299">
        <v>96482</v>
      </c>
      <c r="L299">
        <v>15</v>
      </c>
      <c r="M299" t="s">
        <v>21</v>
      </c>
    </row>
    <row r="300" spans="1:13" x14ac:dyDescent="0.35">
      <c r="A300" t="s">
        <v>339</v>
      </c>
      <c r="B300" s="1">
        <v>45876</v>
      </c>
      <c r="C300" t="s">
        <v>334</v>
      </c>
      <c r="D300" t="s">
        <v>40</v>
      </c>
      <c r="E300">
        <v>125</v>
      </c>
      <c r="F300">
        <v>88</v>
      </c>
      <c r="G300">
        <v>28</v>
      </c>
      <c r="H300">
        <v>185</v>
      </c>
      <c r="I300" t="s">
        <v>16</v>
      </c>
      <c r="J300">
        <v>479</v>
      </c>
      <c r="K300">
        <v>13412</v>
      </c>
      <c r="L300">
        <v>25</v>
      </c>
      <c r="M300" t="s">
        <v>27</v>
      </c>
    </row>
    <row r="301" spans="1:13" x14ac:dyDescent="0.35">
      <c r="A301" t="s">
        <v>340</v>
      </c>
      <c r="B301" s="1">
        <v>45877</v>
      </c>
      <c r="C301" t="s">
        <v>334</v>
      </c>
      <c r="D301" t="s">
        <v>55</v>
      </c>
      <c r="E301">
        <v>375</v>
      </c>
      <c r="F301">
        <v>11</v>
      </c>
      <c r="G301">
        <v>45</v>
      </c>
      <c r="H301">
        <v>341</v>
      </c>
      <c r="I301" t="s">
        <v>20</v>
      </c>
      <c r="J301">
        <v>1094</v>
      </c>
      <c r="K301">
        <v>49230</v>
      </c>
      <c r="L301">
        <v>10</v>
      </c>
      <c r="M301" t="s">
        <v>17</v>
      </c>
    </row>
    <row r="302" spans="1:13" x14ac:dyDescent="0.35">
      <c r="A302" t="s">
        <v>341</v>
      </c>
      <c r="B302" s="1">
        <v>45877</v>
      </c>
      <c r="C302" t="s">
        <v>334</v>
      </c>
      <c r="D302" t="s">
        <v>53</v>
      </c>
      <c r="E302">
        <v>201</v>
      </c>
      <c r="F302">
        <v>17</v>
      </c>
      <c r="G302">
        <v>15</v>
      </c>
      <c r="H302">
        <v>203</v>
      </c>
      <c r="I302" t="s">
        <v>20</v>
      </c>
      <c r="J302">
        <v>533</v>
      </c>
      <c r="K302">
        <v>7995</v>
      </c>
      <c r="L302">
        <v>20</v>
      </c>
      <c r="M302" t="s">
        <v>24</v>
      </c>
    </row>
    <row r="303" spans="1:13" x14ac:dyDescent="0.35">
      <c r="A303" t="s">
        <v>342</v>
      </c>
      <c r="B303" s="1">
        <v>45878</v>
      </c>
      <c r="C303" t="s">
        <v>334</v>
      </c>
      <c r="D303" t="s">
        <v>53</v>
      </c>
      <c r="E303">
        <v>75</v>
      </c>
      <c r="F303">
        <v>85</v>
      </c>
      <c r="G303">
        <v>58</v>
      </c>
      <c r="H303">
        <v>102</v>
      </c>
      <c r="I303" t="s">
        <v>33</v>
      </c>
      <c r="J303">
        <v>588</v>
      </c>
      <c r="K303">
        <v>34104</v>
      </c>
      <c r="L303">
        <v>20</v>
      </c>
      <c r="M303" t="s">
        <v>50</v>
      </c>
    </row>
    <row r="304" spans="1:13" x14ac:dyDescent="0.35">
      <c r="A304" t="s">
        <v>343</v>
      </c>
      <c r="B304" s="1">
        <v>45878</v>
      </c>
      <c r="C304" t="s">
        <v>334</v>
      </c>
      <c r="D304" t="s">
        <v>55</v>
      </c>
      <c r="E304">
        <v>442</v>
      </c>
      <c r="F304">
        <v>74</v>
      </c>
      <c r="G304">
        <v>38</v>
      </c>
      <c r="H304">
        <v>478</v>
      </c>
      <c r="I304" t="s">
        <v>30</v>
      </c>
      <c r="J304">
        <v>2240</v>
      </c>
      <c r="K304">
        <v>85120</v>
      </c>
      <c r="L304">
        <v>10</v>
      </c>
      <c r="M304" t="s">
        <v>50</v>
      </c>
    </row>
    <row r="305" spans="1:13" x14ac:dyDescent="0.35">
      <c r="A305" t="s">
        <v>344</v>
      </c>
      <c r="B305" s="1">
        <v>45878</v>
      </c>
      <c r="C305" t="s">
        <v>334</v>
      </c>
      <c r="D305" t="s">
        <v>53</v>
      </c>
      <c r="E305">
        <v>114</v>
      </c>
      <c r="F305">
        <v>31</v>
      </c>
      <c r="G305">
        <v>33</v>
      </c>
      <c r="H305">
        <v>112</v>
      </c>
      <c r="I305" t="s">
        <v>33</v>
      </c>
      <c r="J305">
        <v>671</v>
      </c>
      <c r="K305">
        <v>22143</v>
      </c>
      <c r="L305">
        <v>20</v>
      </c>
      <c r="M305" t="s">
        <v>24</v>
      </c>
    </row>
    <row r="306" spans="1:13" x14ac:dyDescent="0.35">
      <c r="A306" t="s">
        <v>345</v>
      </c>
      <c r="B306" s="1">
        <v>45878</v>
      </c>
      <c r="C306" t="s">
        <v>334</v>
      </c>
      <c r="D306" t="s">
        <v>38</v>
      </c>
      <c r="E306">
        <v>129</v>
      </c>
      <c r="F306">
        <v>16</v>
      </c>
      <c r="G306">
        <v>24</v>
      </c>
      <c r="H306">
        <v>121</v>
      </c>
      <c r="I306" t="s">
        <v>33</v>
      </c>
      <c r="J306">
        <v>197</v>
      </c>
      <c r="K306">
        <v>4728</v>
      </c>
      <c r="L306">
        <v>30</v>
      </c>
      <c r="M306" t="s">
        <v>21</v>
      </c>
    </row>
    <row r="307" spans="1:13" x14ac:dyDescent="0.35">
      <c r="A307" t="s">
        <v>346</v>
      </c>
      <c r="B307" s="1">
        <v>45879</v>
      </c>
      <c r="C307" t="s">
        <v>334</v>
      </c>
      <c r="D307" t="s">
        <v>15</v>
      </c>
      <c r="E307">
        <v>297</v>
      </c>
      <c r="F307">
        <v>7</v>
      </c>
      <c r="G307">
        <v>53</v>
      </c>
      <c r="H307">
        <v>251</v>
      </c>
      <c r="I307" t="s">
        <v>33</v>
      </c>
      <c r="J307">
        <v>1454</v>
      </c>
      <c r="K307">
        <v>77062</v>
      </c>
      <c r="L307">
        <v>12</v>
      </c>
      <c r="M307" t="s">
        <v>21</v>
      </c>
    </row>
    <row r="308" spans="1:13" x14ac:dyDescent="0.35">
      <c r="A308" t="s">
        <v>347</v>
      </c>
      <c r="B308" s="1">
        <v>45879</v>
      </c>
      <c r="C308" t="s">
        <v>334</v>
      </c>
      <c r="D308" t="s">
        <v>26</v>
      </c>
      <c r="E308">
        <v>225</v>
      </c>
      <c r="F308">
        <v>81</v>
      </c>
      <c r="G308">
        <v>57</v>
      </c>
      <c r="H308">
        <v>249</v>
      </c>
      <c r="I308" t="s">
        <v>42</v>
      </c>
      <c r="J308">
        <v>3683</v>
      </c>
      <c r="K308">
        <v>209931</v>
      </c>
      <c r="L308">
        <v>15</v>
      </c>
      <c r="M308" t="s">
        <v>21</v>
      </c>
    </row>
    <row r="309" spans="1:13" x14ac:dyDescent="0.35">
      <c r="A309" t="s">
        <v>348</v>
      </c>
      <c r="B309" s="1">
        <v>45880</v>
      </c>
      <c r="C309" t="s">
        <v>334</v>
      </c>
      <c r="D309" t="s">
        <v>19</v>
      </c>
      <c r="E309">
        <v>120</v>
      </c>
      <c r="F309">
        <v>58</v>
      </c>
      <c r="G309">
        <v>0</v>
      </c>
      <c r="H309">
        <v>178</v>
      </c>
      <c r="I309" t="s">
        <v>30</v>
      </c>
      <c r="J309">
        <v>2178</v>
      </c>
      <c r="K309">
        <v>0</v>
      </c>
      <c r="L309">
        <v>8</v>
      </c>
      <c r="M309" t="s">
        <v>50</v>
      </c>
    </row>
    <row r="310" spans="1:13" x14ac:dyDescent="0.35">
      <c r="A310" t="s">
        <v>349</v>
      </c>
      <c r="B310" s="1">
        <v>45881</v>
      </c>
      <c r="C310" t="s">
        <v>334</v>
      </c>
      <c r="D310" t="s">
        <v>38</v>
      </c>
      <c r="E310">
        <v>462</v>
      </c>
      <c r="F310">
        <v>93</v>
      </c>
      <c r="G310">
        <v>37</v>
      </c>
      <c r="H310">
        <v>518</v>
      </c>
      <c r="I310" t="s">
        <v>30</v>
      </c>
      <c r="J310">
        <v>217</v>
      </c>
      <c r="K310">
        <v>8029</v>
      </c>
      <c r="L310">
        <v>30</v>
      </c>
      <c r="M310" t="s">
        <v>17</v>
      </c>
    </row>
    <row r="311" spans="1:13" x14ac:dyDescent="0.35">
      <c r="A311" t="s">
        <v>350</v>
      </c>
      <c r="B311" s="1">
        <v>45881</v>
      </c>
      <c r="C311" t="s">
        <v>334</v>
      </c>
      <c r="D311" t="s">
        <v>53</v>
      </c>
      <c r="E311">
        <v>350</v>
      </c>
      <c r="F311">
        <v>65</v>
      </c>
      <c r="G311">
        <v>7</v>
      </c>
      <c r="H311">
        <v>408</v>
      </c>
      <c r="I311" t="s">
        <v>33</v>
      </c>
      <c r="J311">
        <v>644</v>
      </c>
      <c r="K311">
        <v>4508</v>
      </c>
      <c r="L311">
        <v>20</v>
      </c>
      <c r="M311" t="s">
        <v>24</v>
      </c>
    </row>
    <row r="312" spans="1:13" x14ac:dyDescent="0.35">
      <c r="A312" t="s">
        <v>351</v>
      </c>
      <c r="B312" s="1">
        <v>45882</v>
      </c>
      <c r="C312" t="s">
        <v>334</v>
      </c>
      <c r="D312" t="s">
        <v>55</v>
      </c>
      <c r="E312">
        <v>448</v>
      </c>
      <c r="F312">
        <v>37</v>
      </c>
      <c r="G312">
        <v>53</v>
      </c>
      <c r="H312">
        <v>432</v>
      </c>
      <c r="I312" t="s">
        <v>20</v>
      </c>
      <c r="J312">
        <v>2318</v>
      </c>
      <c r="K312">
        <v>122854</v>
      </c>
      <c r="L312">
        <v>10</v>
      </c>
      <c r="M312" t="s">
        <v>50</v>
      </c>
    </row>
    <row r="313" spans="1:13" x14ac:dyDescent="0.35">
      <c r="A313" t="s">
        <v>352</v>
      </c>
      <c r="B313" s="1">
        <v>45882</v>
      </c>
      <c r="C313" t="s">
        <v>334</v>
      </c>
      <c r="D313" t="s">
        <v>23</v>
      </c>
      <c r="E313">
        <v>159</v>
      </c>
      <c r="F313">
        <v>69</v>
      </c>
      <c r="G313">
        <v>13</v>
      </c>
      <c r="H313">
        <v>215</v>
      </c>
      <c r="I313" t="s">
        <v>42</v>
      </c>
      <c r="J313">
        <v>715</v>
      </c>
      <c r="K313">
        <v>9295</v>
      </c>
      <c r="L313">
        <v>12</v>
      </c>
      <c r="M313" t="s">
        <v>50</v>
      </c>
    </row>
    <row r="314" spans="1:13" x14ac:dyDescent="0.35">
      <c r="A314" t="s">
        <v>353</v>
      </c>
      <c r="B314" s="1">
        <v>45883</v>
      </c>
      <c r="C314" t="s">
        <v>334</v>
      </c>
      <c r="D314" t="s">
        <v>45</v>
      </c>
      <c r="E314">
        <v>200</v>
      </c>
      <c r="F314">
        <v>53</v>
      </c>
      <c r="G314">
        <v>9</v>
      </c>
      <c r="H314">
        <v>244</v>
      </c>
      <c r="I314" t="s">
        <v>42</v>
      </c>
      <c r="J314">
        <v>5191</v>
      </c>
      <c r="K314">
        <v>46719</v>
      </c>
      <c r="L314">
        <v>8</v>
      </c>
      <c r="M314" t="s">
        <v>27</v>
      </c>
    </row>
    <row r="315" spans="1:13" x14ac:dyDescent="0.35">
      <c r="A315" t="s">
        <v>354</v>
      </c>
      <c r="B315" s="1">
        <v>45883</v>
      </c>
      <c r="C315" t="s">
        <v>334</v>
      </c>
      <c r="D315" t="s">
        <v>40</v>
      </c>
      <c r="E315">
        <v>276</v>
      </c>
      <c r="F315">
        <v>98</v>
      </c>
      <c r="G315">
        <v>18</v>
      </c>
      <c r="H315">
        <v>356</v>
      </c>
      <c r="I315" t="s">
        <v>33</v>
      </c>
      <c r="J315">
        <v>511</v>
      </c>
      <c r="K315">
        <v>9198</v>
      </c>
      <c r="L315">
        <v>25</v>
      </c>
      <c r="M315" t="s">
        <v>21</v>
      </c>
    </row>
    <row r="316" spans="1:13" x14ac:dyDescent="0.35">
      <c r="A316" t="s">
        <v>355</v>
      </c>
      <c r="B316" s="1">
        <v>45884</v>
      </c>
      <c r="C316" t="s">
        <v>334</v>
      </c>
      <c r="D316" t="s">
        <v>38</v>
      </c>
      <c r="E316">
        <v>385</v>
      </c>
      <c r="F316">
        <v>27</v>
      </c>
      <c r="G316">
        <v>32</v>
      </c>
      <c r="H316">
        <v>380</v>
      </c>
      <c r="I316" t="s">
        <v>42</v>
      </c>
      <c r="J316">
        <v>322</v>
      </c>
      <c r="K316">
        <v>10304</v>
      </c>
      <c r="L316">
        <v>30</v>
      </c>
      <c r="M316" t="s">
        <v>17</v>
      </c>
    </row>
    <row r="317" spans="1:13" x14ac:dyDescent="0.35">
      <c r="A317" t="s">
        <v>356</v>
      </c>
      <c r="B317" s="1">
        <v>45884</v>
      </c>
      <c r="C317" t="s">
        <v>334</v>
      </c>
      <c r="D317" t="s">
        <v>29</v>
      </c>
      <c r="E317">
        <v>99</v>
      </c>
      <c r="F317">
        <v>87</v>
      </c>
      <c r="G317">
        <v>13</v>
      </c>
      <c r="H317">
        <v>173</v>
      </c>
      <c r="I317" t="s">
        <v>16</v>
      </c>
      <c r="J317">
        <v>189</v>
      </c>
      <c r="K317">
        <v>2457</v>
      </c>
      <c r="L317">
        <v>35</v>
      </c>
      <c r="M317" t="s">
        <v>17</v>
      </c>
    </row>
    <row r="318" spans="1:13" x14ac:dyDescent="0.35">
      <c r="A318" t="s">
        <v>357</v>
      </c>
      <c r="B318" s="1">
        <v>45886</v>
      </c>
      <c r="C318" t="s">
        <v>334</v>
      </c>
      <c r="D318" t="s">
        <v>29</v>
      </c>
      <c r="E318">
        <v>454</v>
      </c>
      <c r="F318">
        <v>7</v>
      </c>
      <c r="G318">
        <v>29</v>
      </c>
      <c r="H318">
        <v>432</v>
      </c>
      <c r="I318" t="s">
        <v>33</v>
      </c>
      <c r="J318">
        <v>73</v>
      </c>
      <c r="K318">
        <v>2117</v>
      </c>
      <c r="L318">
        <v>35</v>
      </c>
      <c r="M318" t="s">
        <v>21</v>
      </c>
    </row>
    <row r="319" spans="1:13" x14ac:dyDescent="0.35">
      <c r="A319" t="s">
        <v>358</v>
      </c>
      <c r="B319" s="1">
        <v>45887</v>
      </c>
      <c r="C319" t="s">
        <v>334</v>
      </c>
      <c r="D319" t="s">
        <v>55</v>
      </c>
      <c r="E319">
        <v>341</v>
      </c>
      <c r="F319">
        <v>35</v>
      </c>
      <c r="G319">
        <v>51</v>
      </c>
      <c r="H319">
        <v>325</v>
      </c>
      <c r="I319" t="s">
        <v>42</v>
      </c>
      <c r="J319">
        <v>913</v>
      </c>
      <c r="K319">
        <v>46563</v>
      </c>
      <c r="L319">
        <v>10</v>
      </c>
      <c r="M319" t="s">
        <v>50</v>
      </c>
    </row>
    <row r="320" spans="1:13" x14ac:dyDescent="0.35">
      <c r="A320" t="s">
        <v>359</v>
      </c>
      <c r="B320" s="1">
        <v>45887</v>
      </c>
      <c r="C320" t="s">
        <v>334</v>
      </c>
      <c r="D320" t="s">
        <v>23</v>
      </c>
      <c r="E320">
        <v>485</v>
      </c>
      <c r="F320">
        <v>48</v>
      </c>
      <c r="G320">
        <v>24</v>
      </c>
      <c r="H320">
        <v>509</v>
      </c>
      <c r="I320" t="s">
        <v>33</v>
      </c>
      <c r="J320">
        <v>764</v>
      </c>
      <c r="K320">
        <v>18336</v>
      </c>
      <c r="L320">
        <v>12</v>
      </c>
      <c r="M320" t="s">
        <v>24</v>
      </c>
    </row>
    <row r="321" spans="1:13" x14ac:dyDescent="0.35">
      <c r="A321" t="s">
        <v>360</v>
      </c>
      <c r="B321" s="1">
        <v>45888</v>
      </c>
      <c r="C321" t="s">
        <v>334</v>
      </c>
      <c r="D321" t="s">
        <v>19</v>
      </c>
      <c r="E321">
        <v>166</v>
      </c>
      <c r="F321">
        <v>18</v>
      </c>
      <c r="G321">
        <v>6</v>
      </c>
      <c r="H321">
        <v>178</v>
      </c>
      <c r="I321" t="s">
        <v>30</v>
      </c>
      <c r="J321">
        <v>803</v>
      </c>
      <c r="K321">
        <v>4818</v>
      </c>
      <c r="L321">
        <v>8</v>
      </c>
      <c r="M321" t="s">
        <v>21</v>
      </c>
    </row>
    <row r="322" spans="1:13" x14ac:dyDescent="0.35">
      <c r="A322" t="s">
        <v>361</v>
      </c>
      <c r="B322" s="1">
        <v>45890</v>
      </c>
      <c r="C322" t="s">
        <v>334</v>
      </c>
      <c r="D322" t="s">
        <v>26</v>
      </c>
      <c r="E322">
        <v>86</v>
      </c>
      <c r="F322">
        <v>84</v>
      </c>
      <c r="G322">
        <v>13</v>
      </c>
      <c r="H322">
        <v>157</v>
      </c>
      <c r="I322" t="s">
        <v>20</v>
      </c>
      <c r="J322">
        <v>1887</v>
      </c>
      <c r="K322">
        <v>24531</v>
      </c>
      <c r="L322">
        <v>15</v>
      </c>
      <c r="M322" t="s">
        <v>21</v>
      </c>
    </row>
    <row r="323" spans="1:13" x14ac:dyDescent="0.35">
      <c r="A323" t="s">
        <v>362</v>
      </c>
      <c r="B323" s="1">
        <v>45890</v>
      </c>
      <c r="C323" t="s">
        <v>334</v>
      </c>
      <c r="D323" t="s">
        <v>53</v>
      </c>
      <c r="E323">
        <v>289</v>
      </c>
      <c r="F323">
        <v>41</v>
      </c>
      <c r="G323">
        <v>37</v>
      </c>
      <c r="H323">
        <v>293</v>
      </c>
      <c r="I323" t="s">
        <v>20</v>
      </c>
      <c r="J323">
        <v>252</v>
      </c>
      <c r="K323">
        <v>9324</v>
      </c>
      <c r="L323">
        <v>20</v>
      </c>
      <c r="M323" t="s">
        <v>50</v>
      </c>
    </row>
    <row r="324" spans="1:13" x14ac:dyDescent="0.35">
      <c r="A324" t="s">
        <v>363</v>
      </c>
      <c r="B324" s="1">
        <v>45891</v>
      </c>
      <c r="C324" t="s">
        <v>334</v>
      </c>
      <c r="D324" t="s">
        <v>29</v>
      </c>
      <c r="E324">
        <v>47</v>
      </c>
      <c r="F324">
        <v>92</v>
      </c>
      <c r="G324">
        <v>9</v>
      </c>
      <c r="H324">
        <v>130</v>
      </c>
      <c r="I324" t="s">
        <v>42</v>
      </c>
      <c r="J324">
        <v>144</v>
      </c>
      <c r="K324">
        <v>1296</v>
      </c>
      <c r="L324">
        <v>35</v>
      </c>
      <c r="M324" t="s">
        <v>17</v>
      </c>
    </row>
    <row r="325" spans="1:13" x14ac:dyDescent="0.35">
      <c r="A325" t="s">
        <v>364</v>
      </c>
      <c r="B325" s="1">
        <v>45891</v>
      </c>
      <c r="C325" t="s">
        <v>334</v>
      </c>
      <c r="D325" t="s">
        <v>26</v>
      </c>
      <c r="E325">
        <v>108</v>
      </c>
      <c r="F325">
        <v>59</v>
      </c>
      <c r="G325">
        <v>42</v>
      </c>
      <c r="H325">
        <v>125</v>
      </c>
      <c r="I325" t="s">
        <v>33</v>
      </c>
      <c r="J325">
        <v>3975</v>
      </c>
      <c r="K325">
        <v>166950</v>
      </c>
      <c r="L325">
        <v>15</v>
      </c>
      <c r="M325" t="s">
        <v>21</v>
      </c>
    </row>
    <row r="326" spans="1:13" x14ac:dyDescent="0.35">
      <c r="A326" t="s">
        <v>365</v>
      </c>
      <c r="B326" s="1">
        <v>45892</v>
      </c>
      <c r="C326" t="s">
        <v>334</v>
      </c>
      <c r="D326" t="s">
        <v>15</v>
      </c>
      <c r="E326">
        <v>371</v>
      </c>
      <c r="F326">
        <v>32</v>
      </c>
      <c r="G326">
        <v>45</v>
      </c>
      <c r="H326">
        <v>358</v>
      </c>
      <c r="I326" t="s">
        <v>20</v>
      </c>
      <c r="J326">
        <v>1581</v>
      </c>
      <c r="K326">
        <v>71145</v>
      </c>
      <c r="L326">
        <v>12</v>
      </c>
      <c r="M326" t="s">
        <v>17</v>
      </c>
    </row>
    <row r="327" spans="1:13" x14ac:dyDescent="0.35">
      <c r="A327" t="s">
        <v>366</v>
      </c>
      <c r="B327" s="1">
        <v>45893</v>
      </c>
      <c r="C327" t="s">
        <v>334</v>
      </c>
      <c r="D327" t="s">
        <v>55</v>
      </c>
      <c r="E327">
        <v>219</v>
      </c>
      <c r="F327">
        <v>39</v>
      </c>
      <c r="G327">
        <v>52</v>
      </c>
      <c r="H327">
        <v>206</v>
      </c>
      <c r="I327" t="s">
        <v>42</v>
      </c>
      <c r="J327">
        <v>1366</v>
      </c>
      <c r="K327">
        <v>71032</v>
      </c>
      <c r="L327">
        <v>10</v>
      </c>
      <c r="M327" t="s">
        <v>17</v>
      </c>
    </row>
    <row r="328" spans="1:13" x14ac:dyDescent="0.35">
      <c r="A328" t="s">
        <v>367</v>
      </c>
      <c r="B328" s="1">
        <v>45894</v>
      </c>
      <c r="C328" t="s">
        <v>334</v>
      </c>
      <c r="D328" t="s">
        <v>29</v>
      </c>
      <c r="E328">
        <v>251</v>
      </c>
      <c r="F328">
        <v>6</v>
      </c>
      <c r="G328">
        <v>12</v>
      </c>
      <c r="H328">
        <v>245</v>
      </c>
      <c r="I328" t="s">
        <v>30</v>
      </c>
      <c r="J328">
        <v>172</v>
      </c>
      <c r="K328">
        <v>2064</v>
      </c>
      <c r="L328">
        <v>35</v>
      </c>
      <c r="M328" t="s">
        <v>21</v>
      </c>
    </row>
    <row r="329" spans="1:13" x14ac:dyDescent="0.35">
      <c r="A329" t="s">
        <v>368</v>
      </c>
      <c r="B329" s="1">
        <v>45896</v>
      </c>
      <c r="C329" t="s">
        <v>334</v>
      </c>
      <c r="D329" t="s">
        <v>45</v>
      </c>
      <c r="E329">
        <v>187</v>
      </c>
      <c r="F329">
        <v>86</v>
      </c>
      <c r="G329">
        <v>34</v>
      </c>
      <c r="H329">
        <v>239</v>
      </c>
      <c r="I329" t="s">
        <v>20</v>
      </c>
      <c r="J329">
        <v>4147</v>
      </c>
      <c r="K329">
        <v>140998</v>
      </c>
      <c r="L329">
        <v>8</v>
      </c>
      <c r="M329" t="s">
        <v>27</v>
      </c>
    </row>
    <row r="330" spans="1:13" x14ac:dyDescent="0.35">
      <c r="A330" t="s">
        <v>369</v>
      </c>
      <c r="B330" s="1">
        <v>45897</v>
      </c>
      <c r="C330" t="s">
        <v>334</v>
      </c>
      <c r="D330" t="s">
        <v>26</v>
      </c>
      <c r="E330">
        <v>392</v>
      </c>
      <c r="F330">
        <v>38</v>
      </c>
      <c r="G330">
        <v>44</v>
      </c>
      <c r="H330">
        <v>386</v>
      </c>
      <c r="I330" t="s">
        <v>30</v>
      </c>
      <c r="J330">
        <v>3448</v>
      </c>
      <c r="K330">
        <v>151712</v>
      </c>
      <c r="L330">
        <v>15</v>
      </c>
      <c r="M330" t="s">
        <v>21</v>
      </c>
    </row>
    <row r="331" spans="1:13" x14ac:dyDescent="0.35">
      <c r="A331" t="s">
        <v>370</v>
      </c>
      <c r="B331" s="1">
        <v>45897</v>
      </c>
      <c r="C331" t="s">
        <v>334</v>
      </c>
      <c r="D331" t="s">
        <v>23</v>
      </c>
      <c r="E331">
        <v>482</v>
      </c>
      <c r="F331">
        <v>93</v>
      </c>
      <c r="G331">
        <v>3</v>
      </c>
      <c r="H331">
        <v>572</v>
      </c>
      <c r="I331" t="s">
        <v>20</v>
      </c>
      <c r="J331">
        <v>801</v>
      </c>
      <c r="K331">
        <v>2403</v>
      </c>
      <c r="L331">
        <v>12</v>
      </c>
      <c r="M331" t="s">
        <v>50</v>
      </c>
    </row>
    <row r="332" spans="1:13" x14ac:dyDescent="0.35">
      <c r="A332" t="s">
        <v>371</v>
      </c>
      <c r="B332" s="1">
        <v>45898</v>
      </c>
      <c r="C332" t="s">
        <v>334</v>
      </c>
      <c r="D332" t="s">
        <v>23</v>
      </c>
      <c r="E332">
        <v>62</v>
      </c>
      <c r="F332">
        <v>81</v>
      </c>
      <c r="G332">
        <v>24</v>
      </c>
      <c r="H332">
        <v>119</v>
      </c>
      <c r="I332" t="s">
        <v>30</v>
      </c>
      <c r="J332">
        <v>1364</v>
      </c>
      <c r="K332">
        <v>32736</v>
      </c>
      <c r="L332">
        <v>12</v>
      </c>
      <c r="M332" t="s">
        <v>24</v>
      </c>
    </row>
    <row r="333" spans="1:13" x14ac:dyDescent="0.35">
      <c r="A333" t="s">
        <v>372</v>
      </c>
      <c r="B333" s="1">
        <v>45898</v>
      </c>
      <c r="C333" t="s">
        <v>334</v>
      </c>
      <c r="D333" t="s">
        <v>26</v>
      </c>
      <c r="E333">
        <v>266</v>
      </c>
      <c r="F333">
        <v>80</v>
      </c>
      <c r="G333">
        <v>19</v>
      </c>
      <c r="H333">
        <v>327</v>
      </c>
      <c r="I333" t="s">
        <v>33</v>
      </c>
      <c r="J333">
        <v>2925</v>
      </c>
      <c r="K333">
        <v>55575</v>
      </c>
      <c r="L333">
        <v>15</v>
      </c>
      <c r="M333" t="s">
        <v>27</v>
      </c>
    </row>
    <row r="334" spans="1:13" x14ac:dyDescent="0.35">
      <c r="A334" t="s">
        <v>373</v>
      </c>
      <c r="B334" s="1">
        <v>45900</v>
      </c>
      <c r="C334" t="s">
        <v>334</v>
      </c>
      <c r="D334" t="s">
        <v>53</v>
      </c>
      <c r="E334">
        <v>401</v>
      </c>
      <c r="F334">
        <v>48</v>
      </c>
      <c r="G334">
        <v>24</v>
      </c>
      <c r="H334">
        <v>425</v>
      </c>
      <c r="I334" t="s">
        <v>16</v>
      </c>
      <c r="J334">
        <v>405</v>
      </c>
      <c r="K334">
        <v>9720</v>
      </c>
      <c r="L334">
        <v>20</v>
      </c>
      <c r="M334" t="s">
        <v>24</v>
      </c>
    </row>
    <row r="335" spans="1:13" x14ac:dyDescent="0.35">
      <c r="A335" t="s">
        <v>374</v>
      </c>
      <c r="B335" s="1">
        <v>45901</v>
      </c>
      <c r="C335" t="s">
        <v>375</v>
      </c>
      <c r="D335" t="s">
        <v>15</v>
      </c>
      <c r="E335">
        <v>270</v>
      </c>
      <c r="F335">
        <v>33</v>
      </c>
      <c r="G335">
        <v>48</v>
      </c>
      <c r="H335">
        <v>255</v>
      </c>
      <c r="I335" t="s">
        <v>30</v>
      </c>
      <c r="J335">
        <v>1706</v>
      </c>
      <c r="K335">
        <v>81888</v>
      </c>
      <c r="L335">
        <v>12</v>
      </c>
      <c r="M335" t="s">
        <v>17</v>
      </c>
    </row>
    <row r="336" spans="1:13" x14ac:dyDescent="0.35">
      <c r="A336" t="s">
        <v>376</v>
      </c>
      <c r="B336" s="1">
        <v>45901</v>
      </c>
      <c r="C336" t="s">
        <v>375</v>
      </c>
      <c r="D336" t="s">
        <v>26</v>
      </c>
      <c r="E336">
        <v>269</v>
      </c>
      <c r="F336">
        <v>99</v>
      </c>
      <c r="G336">
        <v>23</v>
      </c>
      <c r="H336">
        <v>345</v>
      </c>
      <c r="I336" t="s">
        <v>33</v>
      </c>
      <c r="J336">
        <v>3902</v>
      </c>
      <c r="K336">
        <v>89746</v>
      </c>
      <c r="L336">
        <v>15</v>
      </c>
      <c r="M336" t="s">
        <v>27</v>
      </c>
    </row>
    <row r="337" spans="1:13" x14ac:dyDescent="0.35">
      <c r="A337" t="s">
        <v>377</v>
      </c>
      <c r="B337" s="1">
        <v>45901</v>
      </c>
      <c r="C337" t="s">
        <v>375</v>
      </c>
      <c r="D337" t="s">
        <v>53</v>
      </c>
      <c r="E337">
        <v>89</v>
      </c>
      <c r="F337">
        <v>56</v>
      </c>
      <c r="G337">
        <v>46</v>
      </c>
      <c r="H337">
        <v>99</v>
      </c>
      <c r="I337" t="s">
        <v>30</v>
      </c>
      <c r="J337">
        <v>713</v>
      </c>
      <c r="K337">
        <v>32798</v>
      </c>
      <c r="L337">
        <v>20</v>
      </c>
      <c r="M337" t="s">
        <v>24</v>
      </c>
    </row>
    <row r="338" spans="1:13" x14ac:dyDescent="0.35">
      <c r="A338" t="s">
        <v>378</v>
      </c>
      <c r="B338" s="1">
        <v>45902</v>
      </c>
      <c r="C338" t="s">
        <v>375</v>
      </c>
      <c r="D338" t="s">
        <v>40</v>
      </c>
      <c r="E338">
        <v>297</v>
      </c>
      <c r="F338">
        <v>67</v>
      </c>
      <c r="G338">
        <v>10</v>
      </c>
      <c r="H338">
        <v>354</v>
      </c>
      <c r="I338" t="s">
        <v>33</v>
      </c>
      <c r="J338">
        <v>178</v>
      </c>
      <c r="K338">
        <v>1780</v>
      </c>
      <c r="L338">
        <v>25</v>
      </c>
      <c r="M338" t="s">
        <v>27</v>
      </c>
    </row>
    <row r="339" spans="1:13" x14ac:dyDescent="0.35">
      <c r="A339" t="s">
        <v>379</v>
      </c>
      <c r="B339" s="1">
        <v>45903</v>
      </c>
      <c r="C339" t="s">
        <v>375</v>
      </c>
      <c r="D339" t="s">
        <v>19</v>
      </c>
      <c r="E339">
        <v>149</v>
      </c>
      <c r="F339">
        <v>25</v>
      </c>
      <c r="G339">
        <v>52</v>
      </c>
      <c r="H339">
        <v>122</v>
      </c>
      <c r="I339" t="s">
        <v>30</v>
      </c>
      <c r="J339">
        <v>1803</v>
      </c>
      <c r="K339">
        <v>93756</v>
      </c>
      <c r="L339">
        <v>8</v>
      </c>
      <c r="M339" t="s">
        <v>21</v>
      </c>
    </row>
    <row r="340" spans="1:13" x14ac:dyDescent="0.35">
      <c r="A340" t="s">
        <v>380</v>
      </c>
      <c r="B340" s="1">
        <v>45904</v>
      </c>
      <c r="C340" t="s">
        <v>375</v>
      </c>
      <c r="D340" t="s">
        <v>38</v>
      </c>
      <c r="E340">
        <v>149</v>
      </c>
      <c r="F340">
        <v>51</v>
      </c>
      <c r="G340">
        <v>57</v>
      </c>
      <c r="H340">
        <v>143</v>
      </c>
      <c r="I340" t="s">
        <v>42</v>
      </c>
      <c r="J340">
        <v>110</v>
      </c>
      <c r="K340">
        <v>6270</v>
      </c>
      <c r="L340">
        <v>30</v>
      </c>
      <c r="M340" t="s">
        <v>21</v>
      </c>
    </row>
    <row r="341" spans="1:13" x14ac:dyDescent="0.35">
      <c r="A341" t="s">
        <v>381</v>
      </c>
      <c r="B341" s="1">
        <v>45905</v>
      </c>
      <c r="C341" t="s">
        <v>375</v>
      </c>
      <c r="D341" t="s">
        <v>19</v>
      </c>
      <c r="E341">
        <v>165</v>
      </c>
      <c r="F341">
        <v>87</v>
      </c>
      <c r="G341">
        <v>25</v>
      </c>
      <c r="H341">
        <v>227</v>
      </c>
      <c r="I341" t="s">
        <v>16</v>
      </c>
      <c r="J341">
        <v>1309</v>
      </c>
      <c r="K341">
        <v>32725</v>
      </c>
      <c r="L341">
        <v>8</v>
      </c>
      <c r="M341" t="s">
        <v>50</v>
      </c>
    </row>
    <row r="342" spans="1:13" x14ac:dyDescent="0.35">
      <c r="A342" t="s">
        <v>382</v>
      </c>
      <c r="B342" s="1">
        <v>45905</v>
      </c>
      <c r="C342" t="s">
        <v>375</v>
      </c>
      <c r="D342" t="s">
        <v>23</v>
      </c>
      <c r="E342">
        <v>281</v>
      </c>
      <c r="F342">
        <v>31</v>
      </c>
      <c r="G342">
        <v>29</v>
      </c>
      <c r="H342">
        <v>283</v>
      </c>
      <c r="I342" t="s">
        <v>42</v>
      </c>
      <c r="J342">
        <v>1728</v>
      </c>
      <c r="K342">
        <v>50112</v>
      </c>
      <c r="L342">
        <v>12</v>
      </c>
      <c r="M342" t="s">
        <v>50</v>
      </c>
    </row>
    <row r="343" spans="1:13" x14ac:dyDescent="0.35">
      <c r="A343" t="s">
        <v>383</v>
      </c>
      <c r="B343" s="1">
        <v>45905</v>
      </c>
      <c r="C343" t="s">
        <v>375</v>
      </c>
      <c r="D343" t="s">
        <v>45</v>
      </c>
      <c r="E343">
        <v>93</v>
      </c>
      <c r="F343">
        <v>37</v>
      </c>
      <c r="G343">
        <v>26</v>
      </c>
      <c r="H343">
        <v>104</v>
      </c>
      <c r="I343" t="s">
        <v>20</v>
      </c>
      <c r="J343">
        <v>3851</v>
      </c>
      <c r="K343">
        <v>100126</v>
      </c>
      <c r="L343">
        <v>8</v>
      </c>
      <c r="M343" t="s">
        <v>17</v>
      </c>
    </row>
    <row r="344" spans="1:13" x14ac:dyDescent="0.35">
      <c r="A344" t="s">
        <v>384</v>
      </c>
      <c r="B344" s="1">
        <v>45908</v>
      </c>
      <c r="C344" t="s">
        <v>375</v>
      </c>
      <c r="D344" t="s">
        <v>23</v>
      </c>
      <c r="E344">
        <v>112</v>
      </c>
      <c r="F344">
        <v>73</v>
      </c>
      <c r="G344">
        <v>40</v>
      </c>
      <c r="H344">
        <v>145</v>
      </c>
      <c r="I344" t="s">
        <v>16</v>
      </c>
      <c r="J344">
        <v>1150</v>
      </c>
      <c r="K344">
        <v>46000</v>
      </c>
      <c r="L344">
        <v>12</v>
      </c>
      <c r="M344" t="s">
        <v>50</v>
      </c>
    </row>
    <row r="345" spans="1:13" x14ac:dyDescent="0.35">
      <c r="A345" t="s">
        <v>385</v>
      </c>
      <c r="B345" s="1">
        <v>45911</v>
      </c>
      <c r="C345" t="s">
        <v>375</v>
      </c>
      <c r="D345" t="s">
        <v>55</v>
      </c>
      <c r="E345">
        <v>237</v>
      </c>
      <c r="F345">
        <v>14</v>
      </c>
      <c r="G345">
        <v>15</v>
      </c>
      <c r="H345">
        <v>236</v>
      </c>
      <c r="I345" t="s">
        <v>33</v>
      </c>
      <c r="J345">
        <v>1923</v>
      </c>
      <c r="K345">
        <v>28845</v>
      </c>
      <c r="L345">
        <v>10</v>
      </c>
      <c r="M345" t="s">
        <v>17</v>
      </c>
    </row>
    <row r="346" spans="1:13" x14ac:dyDescent="0.35">
      <c r="A346" t="s">
        <v>386</v>
      </c>
      <c r="B346" s="1">
        <v>45911</v>
      </c>
      <c r="C346" t="s">
        <v>375</v>
      </c>
      <c r="D346" t="s">
        <v>23</v>
      </c>
      <c r="E346">
        <v>244</v>
      </c>
      <c r="F346">
        <v>31</v>
      </c>
      <c r="G346">
        <v>9</v>
      </c>
      <c r="H346">
        <v>266</v>
      </c>
      <c r="I346" t="s">
        <v>20</v>
      </c>
      <c r="J346">
        <v>611</v>
      </c>
      <c r="K346">
        <v>5499</v>
      </c>
      <c r="L346">
        <v>12</v>
      </c>
      <c r="M346" t="s">
        <v>50</v>
      </c>
    </row>
    <row r="347" spans="1:13" x14ac:dyDescent="0.35">
      <c r="A347" t="s">
        <v>387</v>
      </c>
      <c r="B347" s="1">
        <v>45912</v>
      </c>
      <c r="C347" t="s">
        <v>375</v>
      </c>
      <c r="D347" t="s">
        <v>15</v>
      </c>
      <c r="E347">
        <v>394</v>
      </c>
      <c r="F347">
        <v>63</v>
      </c>
      <c r="G347">
        <v>23</v>
      </c>
      <c r="H347">
        <v>434</v>
      </c>
      <c r="I347" t="s">
        <v>33</v>
      </c>
      <c r="J347">
        <v>2832</v>
      </c>
      <c r="K347">
        <v>65136</v>
      </c>
      <c r="L347">
        <v>12</v>
      </c>
      <c r="M347" t="s">
        <v>17</v>
      </c>
    </row>
    <row r="348" spans="1:13" x14ac:dyDescent="0.35">
      <c r="A348" t="s">
        <v>388</v>
      </c>
      <c r="B348" s="1">
        <v>45912</v>
      </c>
      <c r="C348" t="s">
        <v>375</v>
      </c>
      <c r="D348" t="s">
        <v>23</v>
      </c>
      <c r="E348">
        <v>55</v>
      </c>
      <c r="F348">
        <v>48</v>
      </c>
      <c r="G348">
        <v>43</v>
      </c>
      <c r="H348">
        <v>60</v>
      </c>
      <c r="I348" t="s">
        <v>42</v>
      </c>
      <c r="J348">
        <v>1473</v>
      </c>
      <c r="K348">
        <v>63339</v>
      </c>
      <c r="L348">
        <v>12</v>
      </c>
      <c r="M348" t="s">
        <v>50</v>
      </c>
    </row>
    <row r="349" spans="1:13" x14ac:dyDescent="0.35">
      <c r="A349" t="s">
        <v>389</v>
      </c>
      <c r="B349" s="1">
        <v>45913</v>
      </c>
      <c r="C349" t="s">
        <v>375</v>
      </c>
      <c r="D349" t="s">
        <v>19</v>
      </c>
      <c r="E349">
        <v>250</v>
      </c>
      <c r="F349">
        <v>70</v>
      </c>
      <c r="G349">
        <v>30</v>
      </c>
      <c r="H349">
        <v>290</v>
      </c>
      <c r="I349" t="s">
        <v>20</v>
      </c>
      <c r="J349">
        <v>824</v>
      </c>
      <c r="K349">
        <v>24720</v>
      </c>
      <c r="L349">
        <v>8</v>
      </c>
      <c r="M349" t="s">
        <v>21</v>
      </c>
    </row>
    <row r="350" spans="1:13" x14ac:dyDescent="0.35">
      <c r="A350" t="s">
        <v>390</v>
      </c>
      <c r="B350" s="1">
        <v>45913</v>
      </c>
      <c r="C350" t="s">
        <v>375</v>
      </c>
      <c r="D350" t="s">
        <v>26</v>
      </c>
      <c r="E350">
        <v>472</v>
      </c>
      <c r="F350">
        <v>55</v>
      </c>
      <c r="G350">
        <v>41</v>
      </c>
      <c r="H350">
        <v>486</v>
      </c>
      <c r="I350" t="s">
        <v>33</v>
      </c>
      <c r="J350">
        <v>3156</v>
      </c>
      <c r="K350">
        <v>129396</v>
      </c>
      <c r="L350">
        <v>15</v>
      </c>
      <c r="M350" t="s">
        <v>27</v>
      </c>
    </row>
    <row r="351" spans="1:13" x14ac:dyDescent="0.35">
      <c r="A351" t="s">
        <v>391</v>
      </c>
      <c r="B351" s="1">
        <v>45915</v>
      </c>
      <c r="C351" t="s">
        <v>375</v>
      </c>
      <c r="D351" t="s">
        <v>15</v>
      </c>
      <c r="E351">
        <v>342</v>
      </c>
      <c r="F351">
        <v>42</v>
      </c>
      <c r="G351">
        <v>55</v>
      </c>
      <c r="H351">
        <v>329</v>
      </c>
      <c r="I351" t="s">
        <v>16</v>
      </c>
      <c r="J351">
        <v>1405</v>
      </c>
      <c r="K351">
        <v>77275</v>
      </c>
      <c r="L351">
        <v>12</v>
      </c>
      <c r="M351" t="s">
        <v>21</v>
      </c>
    </row>
    <row r="352" spans="1:13" x14ac:dyDescent="0.35">
      <c r="A352" t="s">
        <v>392</v>
      </c>
      <c r="B352" s="1">
        <v>45915</v>
      </c>
      <c r="C352" t="s">
        <v>375</v>
      </c>
      <c r="D352" t="s">
        <v>38</v>
      </c>
      <c r="E352">
        <v>153</v>
      </c>
      <c r="F352">
        <v>78</v>
      </c>
      <c r="G352">
        <v>2</v>
      </c>
      <c r="H352">
        <v>229</v>
      </c>
      <c r="I352" t="s">
        <v>30</v>
      </c>
      <c r="J352">
        <v>346</v>
      </c>
      <c r="K352">
        <v>692</v>
      </c>
      <c r="L352">
        <v>30</v>
      </c>
      <c r="M352" t="s">
        <v>21</v>
      </c>
    </row>
    <row r="353" spans="1:13" x14ac:dyDescent="0.35">
      <c r="A353" t="s">
        <v>393</v>
      </c>
      <c r="B353" s="1">
        <v>45916</v>
      </c>
      <c r="C353" t="s">
        <v>375</v>
      </c>
      <c r="D353" t="s">
        <v>29</v>
      </c>
      <c r="E353">
        <v>143</v>
      </c>
      <c r="F353">
        <v>73</v>
      </c>
      <c r="G353">
        <v>34</v>
      </c>
      <c r="H353">
        <v>182</v>
      </c>
      <c r="I353" t="s">
        <v>42</v>
      </c>
      <c r="J353">
        <v>78</v>
      </c>
      <c r="K353">
        <v>2652</v>
      </c>
      <c r="L353">
        <v>35</v>
      </c>
      <c r="M353" t="s">
        <v>21</v>
      </c>
    </row>
    <row r="354" spans="1:13" x14ac:dyDescent="0.35">
      <c r="A354" t="s">
        <v>394</v>
      </c>
      <c r="B354" s="1">
        <v>45916</v>
      </c>
      <c r="C354" t="s">
        <v>375</v>
      </c>
      <c r="D354" t="s">
        <v>55</v>
      </c>
      <c r="E354">
        <v>273</v>
      </c>
      <c r="F354">
        <v>47</v>
      </c>
      <c r="G354">
        <v>3</v>
      </c>
      <c r="H354">
        <v>317</v>
      </c>
      <c r="I354" t="s">
        <v>33</v>
      </c>
      <c r="J354">
        <v>2165</v>
      </c>
      <c r="K354">
        <v>6495</v>
      </c>
      <c r="L354">
        <v>10</v>
      </c>
      <c r="M354" t="s">
        <v>50</v>
      </c>
    </row>
    <row r="355" spans="1:13" x14ac:dyDescent="0.35">
      <c r="A355" t="s">
        <v>395</v>
      </c>
      <c r="B355" s="1">
        <v>45916</v>
      </c>
      <c r="C355" t="s">
        <v>375</v>
      </c>
      <c r="D355" t="s">
        <v>15</v>
      </c>
      <c r="E355">
        <v>279</v>
      </c>
      <c r="F355">
        <v>34</v>
      </c>
      <c r="G355">
        <v>12</v>
      </c>
      <c r="H355">
        <v>301</v>
      </c>
      <c r="I355" t="s">
        <v>20</v>
      </c>
      <c r="J355">
        <v>2856</v>
      </c>
      <c r="K355">
        <v>34272</v>
      </c>
      <c r="L355">
        <v>12</v>
      </c>
      <c r="M355" t="s">
        <v>17</v>
      </c>
    </row>
    <row r="356" spans="1:13" x14ac:dyDescent="0.35">
      <c r="A356" t="s">
        <v>396</v>
      </c>
      <c r="B356" s="1">
        <v>45916</v>
      </c>
      <c r="C356" t="s">
        <v>375</v>
      </c>
      <c r="D356" t="s">
        <v>19</v>
      </c>
      <c r="E356">
        <v>290</v>
      </c>
      <c r="F356">
        <v>32</v>
      </c>
      <c r="G356">
        <v>57</v>
      </c>
      <c r="H356">
        <v>265</v>
      </c>
      <c r="I356" t="s">
        <v>20</v>
      </c>
      <c r="J356">
        <v>804</v>
      </c>
      <c r="K356">
        <v>45828</v>
      </c>
      <c r="L356">
        <v>8</v>
      </c>
      <c r="M356" t="s">
        <v>21</v>
      </c>
    </row>
    <row r="357" spans="1:13" x14ac:dyDescent="0.35">
      <c r="A357" t="s">
        <v>397</v>
      </c>
      <c r="B357" s="1">
        <v>45916</v>
      </c>
      <c r="C357" t="s">
        <v>375</v>
      </c>
      <c r="D357" t="s">
        <v>55</v>
      </c>
      <c r="E357">
        <v>348</v>
      </c>
      <c r="F357">
        <v>3</v>
      </c>
      <c r="G357">
        <v>35</v>
      </c>
      <c r="H357">
        <v>316</v>
      </c>
      <c r="I357" t="s">
        <v>33</v>
      </c>
      <c r="J357">
        <v>1307</v>
      </c>
      <c r="K357">
        <v>45745</v>
      </c>
      <c r="L357">
        <v>10</v>
      </c>
      <c r="M357" t="s">
        <v>50</v>
      </c>
    </row>
    <row r="358" spans="1:13" x14ac:dyDescent="0.35">
      <c r="A358" t="s">
        <v>398</v>
      </c>
      <c r="B358" s="1">
        <v>45917</v>
      </c>
      <c r="C358" t="s">
        <v>375</v>
      </c>
      <c r="D358" t="s">
        <v>53</v>
      </c>
      <c r="E358">
        <v>77</v>
      </c>
      <c r="F358">
        <v>39</v>
      </c>
      <c r="G358">
        <v>29</v>
      </c>
      <c r="H358">
        <v>87</v>
      </c>
      <c r="I358" t="s">
        <v>20</v>
      </c>
      <c r="J358">
        <v>712</v>
      </c>
      <c r="K358">
        <v>20648</v>
      </c>
      <c r="L358">
        <v>20</v>
      </c>
      <c r="M358" t="s">
        <v>24</v>
      </c>
    </row>
    <row r="359" spans="1:13" x14ac:dyDescent="0.35">
      <c r="A359" t="s">
        <v>399</v>
      </c>
      <c r="B359" s="1">
        <v>45918</v>
      </c>
      <c r="C359" t="s">
        <v>375</v>
      </c>
      <c r="D359" t="s">
        <v>55</v>
      </c>
      <c r="E359">
        <v>41</v>
      </c>
      <c r="F359">
        <v>5</v>
      </c>
      <c r="G359">
        <v>0</v>
      </c>
      <c r="H359">
        <v>46</v>
      </c>
      <c r="I359" t="s">
        <v>20</v>
      </c>
      <c r="J359">
        <v>1400</v>
      </c>
      <c r="K359">
        <v>0</v>
      </c>
      <c r="L359">
        <v>10</v>
      </c>
      <c r="M359" t="s">
        <v>50</v>
      </c>
    </row>
    <row r="360" spans="1:13" x14ac:dyDescent="0.35">
      <c r="A360" t="s">
        <v>400</v>
      </c>
      <c r="B360" s="1">
        <v>45918</v>
      </c>
      <c r="C360" t="s">
        <v>375</v>
      </c>
      <c r="D360" t="s">
        <v>29</v>
      </c>
      <c r="E360">
        <v>312</v>
      </c>
      <c r="F360">
        <v>62</v>
      </c>
      <c r="G360">
        <v>45</v>
      </c>
      <c r="H360">
        <v>329</v>
      </c>
      <c r="I360" t="s">
        <v>30</v>
      </c>
      <c r="J360">
        <v>184</v>
      </c>
      <c r="K360">
        <v>8280</v>
      </c>
      <c r="L360">
        <v>35</v>
      </c>
      <c r="M360" t="s">
        <v>21</v>
      </c>
    </row>
    <row r="361" spans="1:13" x14ac:dyDescent="0.35">
      <c r="A361" t="s">
        <v>401</v>
      </c>
      <c r="B361" s="1">
        <v>45920</v>
      </c>
      <c r="C361" t="s">
        <v>375</v>
      </c>
      <c r="D361" t="s">
        <v>53</v>
      </c>
      <c r="E361">
        <v>450</v>
      </c>
      <c r="F361">
        <v>95</v>
      </c>
      <c r="G361">
        <v>43</v>
      </c>
      <c r="H361">
        <v>502</v>
      </c>
      <c r="I361" t="s">
        <v>20</v>
      </c>
      <c r="J361">
        <v>413</v>
      </c>
      <c r="K361">
        <v>17759</v>
      </c>
      <c r="L361">
        <v>20</v>
      </c>
      <c r="M361" t="s">
        <v>24</v>
      </c>
    </row>
    <row r="362" spans="1:13" x14ac:dyDescent="0.35">
      <c r="A362" t="s">
        <v>402</v>
      </c>
      <c r="B362" s="1">
        <v>45920</v>
      </c>
      <c r="C362" t="s">
        <v>375</v>
      </c>
      <c r="D362" t="s">
        <v>53</v>
      </c>
      <c r="E362">
        <v>491</v>
      </c>
      <c r="F362">
        <v>63</v>
      </c>
      <c r="G362">
        <v>29</v>
      </c>
      <c r="H362">
        <v>525</v>
      </c>
      <c r="I362" t="s">
        <v>16</v>
      </c>
      <c r="J362">
        <v>350</v>
      </c>
      <c r="K362">
        <v>10150</v>
      </c>
      <c r="L362">
        <v>20</v>
      </c>
      <c r="M362" t="s">
        <v>50</v>
      </c>
    </row>
    <row r="363" spans="1:13" x14ac:dyDescent="0.35">
      <c r="A363" t="s">
        <v>403</v>
      </c>
      <c r="B363" s="1">
        <v>45921</v>
      </c>
      <c r="C363" t="s">
        <v>375</v>
      </c>
      <c r="D363" t="s">
        <v>19</v>
      </c>
      <c r="E363">
        <v>379</v>
      </c>
      <c r="F363">
        <v>81</v>
      </c>
      <c r="G363">
        <v>39</v>
      </c>
      <c r="H363">
        <v>421</v>
      </c>
      <c r="I363" t="s">
        <v>20</v>
      </c>
      <c r="J363">
        <v>1386</v>
      </c>
      <c r="K363">
        <v>54054</v>
      </c>
      <c r="L363">
        <v>8</v>
      </c>
      <c r="M363" t="s">
        <v>50</v>
      </c>
    </row>
    <row r="364" spans="1:13" x14ac:dyDescent="0.35">
      <c r="A364" t="s">
        <v>404</v>
      </c>
      <c r="B364" s="1">
        <v>45921</v>
      </c>
      <c r="C364" t="s">
        <v>375</v>
      </c>
      <c r="D364" t="s">
        <v>23</v>
      </c>
      <c r="E364">
        <v>207</v>
      </c>
      <c r="F364">
        <v>11</v>
      </c>
      <c r="G364">
        <v>25</v>
      </c>
      <c r="H364">
        <v>193</v>
      </c>
      <c r="I364" t="s">
        <v>42</v>
      </c>
      <c r="J364">
        <v>795</v>
      </c>
      <c r="K364">
        <v>19875</v>
      </c>
      <c r="L364">
        <v>12</v>
      </c>
      <c r="M364" t="s">
        <v>24</v>
      </c>
    </row>
    <row r="365" spans="1:13" x14ac:dyDescent="0.35">
      <c r="A365" t="s">
        <v>405</v>
      </c>
      <c r="B365" s="1">
        <v>45921</v>
      </c>
      <c r="C365" t="s">
        <v>375</v>
      </c>
      <c r="D365" t="s">
        <v>53</v>
      </c>
      <c r="E365">
        <v>327</v>
      </c>
      <c r="F365">
        <v>13</v>
      </c>
      <c r="G365">
        <v>20</v>
      </c>
      <c r="H365">
        <v>320</v>
      </c>
      <c r="I365" t="s">
        <v>16</v>
      </c>
      <c r="J365">
        <v>497</v>
      </c>
      <c r="K365">
        <v>9940</v>
      </c>
      <c r="L365">
        <v>20</v>
      </c>
      <c r="M365" t="s">
        <v>24</v>
      </c>
    </row>
    <row r="366" spans="1:13" x14ac:dyDescent="0.35">
      <c r="A366" t="s">
        <v>406</v>
      </c>
      <c r="B366" s="1">
        <v>45923</v>
      </c>
      <c r="C366" t="s">
        <v>375</v>
      </c>
      <c r="D366" t="s">
        <v>38</v>
      </c>
      <c r="E366">
        <v>238</v>
      </c>
      <c r="F366">
        <v>71</v>
      </c>
      <c r="G366">
        <v>7</v>
      </c>
      <c r="H366">
        <v>302</v>
      </c>
      <c r="I366" t="s">
        <v>30</v>
      </c>
      <c r="J366">
        <v>214</v>
      </c>
      <c r="K366">
        <v>1498</v>
      </c>
      <c r="L366">
        <v>30</v>
      </c>
      <c r="M366" t="s">
        <v>21</v>
      </c>
    </row>
    <row r="367" spans="1:13" x14ac:dyDescent="0.35">
      <c r="A367" t="s">
        <v>407</v>
      </c>
      <c r="B367" s="1">
        <v>45923</v>
      </c>
      <c r="C367" t="s">
        <v>375</v>
      </c>
      <c r="D367" t="s">
        <v>55</v>
      </c>
      <c r="E367">
        <v>350</v>
      </c>
      <c r="F367">
        <v>65</v>
      </c>
      <c r="G367">
        <v>12</v>
      </c>
      <c r="H367">
        <v>403</v>
      </c>
      <c r="I367" t="s">
        <v>30</v>
      </c>
      <c r="J367">
        <v>1702</v>
      </c>
      <c r="K367">
        <v>20424</v>
      </c>
      <c r="L367">
        <v>10</v>
      </c>
      <c r="M367" t="s">
        <v>17</v>
      </c>
    </row>
    <row r="368" spans="1:13" x14ac:dyDescent="0.35">
      <c r="A368" t="s">
        <v>408</v>
      </c>
      <c r="B368" s="1">
        <v>45924</v>
      </c>
      <c r="C368" t="s">
        <v>375</v>
      </c>
      <c r="D368" t="s">
        <v>40</v>
      </c>
      <c r="E368">
        <v>126</v>
      </c>
      <c r="F368">
        <v>87</v>
      </c>
      <c r="G368">
        <v>24</v>
      </c>
      <c r="H368">
        <v>189</v>
      </c>
      <c r="I368" t="s">
        <v>42</v>
      </c>
      <c r="J368">
        <v>293</v>
      </c>
      <c r="K368">
        <v>7032</v>
      </c>
      <c r="L368">
        <v>25</v>
      </c>
      <c r="M368" t="s">
        <v>21</v>
      </c>
    </row>
    <row r="369" spans="1:13" x14ac:dyDescent="0.35">
      <c r="A369" t="s">
        <v>409</v>
      </c>
      <c r="B369" s="1">
        <v>45925</v>
      </c>
      <c r="C369" t="s">
        <v>375</v>
      </c>
      <c r="D369" t="s">
        <v>15</v>
      </c>
      <c r="E369">
        <v>373</v>
      </c>
      <c r="F369">
        <v>34</v>
      </c>
      <c r="G369">
        <v>39</v>
      </c>
      <c r="H369">
        <v>368</v>
      </c>
      <c r="I369" t="s">
        <v>33</v>
      </c>
      <c r="J369">
        <v>2855</v>
      </c>
      <c r="K369">
        <v>111345</v>
      </c>
      <c r="L369">
        <v>12</v>
      </c>
      <c r="M369" t="s">
        <v>17</v>
      </c>
    </row>
    <row r="370" spans="1:13" x14ac:dyDescent="0.35">
      <c r="A370" t="s">
        <v>410</v>
      </c>
      <c r="B370" s="1">
        <v>45926</v>
      </c>
      <c r="C370" t="s">
        <v>375</v>
      </c>
      <c r="D370" t="s">
        <v>38</v>
      </c>
      <c r="E370">
        <v>307</v>
      </c>
      <c r="F370">
        <v>78</v>
      </c>
      <c r="G370">
        <v>10</v>
      </c>
      <c r="H370">
        <v>375</v>
      </c>
      <c r="I370" t="s">
        <v>30</v>
      </c>
      <c r="J370">
        <v>266</v>
      </c>
      <c r="K370">
        <v>2660</v>
      </c>
      <c r="L370">
        <v>30</v>
      </c>
      <c r="M370" t="s">
        <v>21</v>
      </c>
    </row>
    <row r="371" spans="1:13" x14ac:dyDescent="0.35">
      <c r="A371" t="s">
        <v>411</v>
      </c>
      <c r="B371" s="1">
        <v>45928</v>
      </c>
      <c r="C371" t="s">
        <v>375</v>
      </c>
      <c r="D371" t="s">
        <v>38</v>
      </c>
      <c r="E371">
        <v>367</v>
      </c>
      <c r="F371">
        <v>40</v>
      </c>
      <c r="G371">
        <v>38</v>
      </c>
      <c r="H371">
        <v>369</v>
      </c>
      <c r="I371" t="s">
        <v>33</v>
      </c>
      <c r="J371">
        <v>278</v>
      </c>
      <c r="K371">
        <v>10564</v>
      </c>
      <c r="L371">
        <v>30</v>
      </c>
      <c r="M371" t="s">
        <v>21</v>
      </c>
    </row>
    <row r="372" spans="1:13" x14ac:dyDescent="0.35">
      <c r="A372" t="s">
        <v>412</v>
      </c>
      <c r="B372" s="1">
        <v>45928</v>
      </c>
      <c r="C372" t="s">
        <v>375</v>
      </c>
      <c r="D372" t="s">
        <v>19</v>
      </c>
      <c r="E372">
        <v>486</v>
      </c>
      <c r="F372">
        <v>77</v>
      </c>
      <c r="G372">
        <v>27</v>
      </c>
      <c r="H372">
        <v>536</v>
      </c>
      <c r="I372" t="s">
        <v>33</v>
      </c>
      <c r="J372">
        <v>1133</v>
      </c>
      <c r="K372">
        <v>30591</v>
      </c>
      <c r="L372">
        <v>8</v>
      </c>
      <c r="M372" t="s">
        <v>50</v>
      </c>
    </row>
    <row r="373" spans="1:13" x14ac:dyDescent="0.35">
      <c r="A373" t="s">
        <v>413</v>
      </c>
      <c r="B373" s="1">
        <v>45929</v>
      </c>
      <c r="C373" t="s">
        <v>375</v>
      </c>
      <c r="D373" t="s">
        <v>40</v>
      </c>
      <c r="E373">
        <v>190</v>
      </c>
      <c r="F373">
        <v>58</v>
      </c>
      <c r="G373">
        <v>32</v>
      </c>
      <c r="H373">
        <v>216</v>
      </c>
      <c r="I373" t="s">
        <v>20</v>
      </c>
      <c r="J373">
        <v>560</v>
      </c>
      <c r="K373">
        <v>17920</v>
      </c>
      <c r="L373">
        <v>25</v>
      </c>
      <c r="M373" t="s">
        <v>27</v>
      </c>
    </row>
    <row r="374" spans="1:13" x14ac:dyDescent="0.35">
      <c r="A374" t="s">
        <v>414</v>
      </c>
      <c r="B374" s="1">
        <v>45930</v>
      </c>
      <c r="C374" t="s">
        <v>375</v>
      </c>
      <c r="D374" t="s">
        <v>26</v>
      </c>
      <c r="E374">
        <v>432</v>
      </c>
      <c r="F374">
        <v>16</v>
      </c>
      <c r="G374">
        <v>8</v>
      </c>
      <c r="H374">
        <v>440</v>
      </c>
      <c r="I374" t="s">
        <v>33</v>
      </c>
      <c r="J374">
        <v>3746</v>
      </c>
      <c r="K374">
        <v>29968</v>
      </c>
      <c r="L374">
        <v>15</v>
      </c>
      <c r="M374" t="s">
        <v>27</v>
      </c>
    </row>
    <row r="375" spans="1:13" x14ac:dyDescent="0.35">
      <c r="A375" t="s">
        <v>415</v>
      </c>
      <c r="B375" s="1">
        <v>45930</v>
      </c>
      <c r="C375" t="s">
        <v>375</v>
      </c>
      <c r="D375" t="s">
        <v>38</v>
      </c>
      <c r="E375">
        <v>215</v>
      </c>
      <c r="F375">
        <v>69</v>
      </c>
      <c r="G375">
        <v>22</v>
      </c>
      <c r="H375">
        <v>262</v>
      </c>
      <c r="I375" t="s">
        <v>33</v>
      </c>
      <c r="J375">
        <v>215</v>
      </c>
      <c r="K375">
        <v>4730</v>
      </c>
      <c r="L375">
        <v>30</v>
      </c>
      <c r="M375" t="s">
        <v>21</v>
      </c>
    </row>
    <row r="376" spans="1:13" x14ac:dyDescent="0.35">
      <c r="A376" t="s">
        <v>416</v>
      </c>
      <c r="B376" s="1">
        <v>45932</v>
      </c>
      <c r="C376" t="s">
        <v>417</v>
      </c>
      <c r="D376" t="s">
        <v>26</v>
      </c>
      <c r="E376">
        <v>430</v>
      </c>
      <c r="F376">
        <v>88</v>
      </c>
      <c r="G376">
        <v>11</v>
      </c>
      <c r="H376">
        <v>507</v>
      </c>
      <c r="I376" t="s">
        <v>42</v>
      </c>
      <c r="J376">
        <v>2584</v>
      </c>
      <c r="K376">
        <v>28424</v>
      </c>
      <c r="L376">
        <v>15</v>
      </c>
      <c r="M376" t="s">
        <v>21</v>
      </c>
    </row>
    <row r="377" spans="1:13" x14ac:dyDescent="0.35">
      <c r="A377" t="s">
        <v>418</v>
      </c>
      <c r="B377" s="1">
        <v>45933</v>
      </c>
      <c r="C377" t="s">
        <v>417</v>
      </c>
      <c r="D377" t="s">
        <v>40</v>
      </c>
      <c r="E377">
        <v>126</v>
      </c>
      <c r="F377">
        <v>41</v>
      </c>
      <c r="G377">
        <v>45</v>
      </c>
      <c r="H377">
        <v>122</v>
      </c>
      <c r="I377" t="s">
        <v>30</v>
      </c>
      <c r="J377">
        <v>419</v>
      </c>
      <c r="K377">
        <v>18855</v>
      </c>
      <c r="L377">
        <v>25</v>
      </c>
      <c r="M377" t="s">
        <v>21</v>
      </c>
    </row>
    <row r="378" spans="1:13" x14ac:dyDescent="0.35">
      <c r="A378" t="s">
        <v>419</v>
      </c>
      <c r="B378" s="1">
        <v>45934</v>
      </c>
      <c r="C378" t="s">
        <v>417</v>
      </c>
      <c r="D378" t="s">
        <v>29</v>
      </c>
      <c r="E378">
        <v>467</v>
      </c>
      <c r="F378">
        <v>94</v>
      </c>
      <c r="G378">
        <v>56</v>
      </c>
      <c r="H378">
        <v>505</v>
      </c>
      <c r="I378" t="s">
        <v>20</v>
      </c>
      <c r="J378">
        <v>174</v>
      </c>
      <c r="K378">
        <v>9744</v>
      </c>
      <c r="L378">
        <v>35</v>
      </c>
      <c r="M378" t="s">
        <v>21</v>
      </c>
    </row>
    <row r="379" spans="1:13" x14ac:dyDescent="0.35">
      <c r="A379" t="s">
        <v>420</v>
      </c>
      <c r="B379" s="1">
        <v>45935</v>
      </c>
      <c r="C379" t="s">
        <v>417</v>
      </c>
      <c r="D379" t="s">
        <v>53</v>
      </c>
      <c r="E379">
        <v>278</v>
      </c>
      <c r="F379">
        <v>53</v>
      </c>
      <c r="G379">
        <v>3</v>
      </c>
      <c r="H379">
        <v>328</v>
      </c>
      <c r="I379" t="s">
        <v>16</v>
      </c>
      <c r="J379">
        <v>461</v>
      </c>
      <c r="K379">
        <v>1383</v>
      </c>
      <c r="L379">
        <v>20</v>
      </c>
      <c r="M379" t="s">
        <v>50</v>
      </c>
    </row>
    <row r="380" spans="1:13" x14ac:dyDescent="0.35">
      <c r="A380" t="s">
        <v>421</v>
      </c>
      <c r="B380" s="1">
        <v>45935</v>
      </c>
      <c r="C380" t="s">
        <v>417</v>
      </c>
      <c r="D380" t="s">
        <v>55</v>
      </c>
      <c r="E380">
        <v>217</v>
      </c>
      <c r="F380">
        <v>81</v>
      </c>
      <c r="G380">
        <v>53</v>
      </c>
      <c r="H380">
        <v>245</v>
      </c>
      <c r="I380" t="s">
        <v>20</v>
      </c>
      <c r="J380">
        <v>2320</v>
      </c>
      <c r="K380">
        <v>122960</v>
      </c>
      <c r="L380">
        <v>10</v>
      </c>
      <c r="M380" t="s">
        <v>50</v>
      </c>
    </row>
    <row r="381" spans="1:13" x14ac:dyDescent="0.35">
      <c r="A381" t="s">
        <v>422</v>
      </c>
      <c r="B381" s="1">
        <v>45936</v>
      </c>
      <c r="C381" t="s">
        <v>417</v>
      </c>
      <c r="D381" t="s">
        <v>26</v>
      </c>
      <c r="E381">
        <v>155</v>
      </c>
      <c r="F381">
        <v>82</v>
      </c>
      <c r="G381">
        <v>9</v>
      </c>
      <c r="H381">
        <v>228</v>
      </c>
      <c r="I381" t="s">
        <v>42</v>
      </c>
      <c r="J381">
        <v>2888</v>
      </c>
      <c r="K381">
        <v>25992</v>
      </c>
      <c r="L381">
        <v>15</v>
      </c>
      <c r="M381" t="s">
        <v>27</v>
      </c>
    </row>
    <row r="382" spans="1:13" x14ac:dyDescent="0.35">
      <c r="A382" t="s">
        <v>423</v>
      </c>
      <c r="B382" s="1">
        <v>45936</v>
      </c>
      <c r="C382" t="s">
        <v>417</v>
      </c>
      <c r="D382" t="s">
        <v>53</v>
      </c>
      <c r="E382">
        <v>370</v>
      </c>
      <c r="F382">
        <v>45</v>
      </c>
      <c r="G382">
        <v>3</v>
      </c>
      <c r="H382">
        <v>412</v>
      </c>
      <c r="I382" t="s">
        <v>30</v>
      </c>
      <c r="J382">
        <v>657</v>
      </c>
      <c r="K382">
        <v>1971</v>
      </c>
      <c r="L382">
        <v>20</v>
      </c>
      <c r="M382" t="s">
        <v>24</v>
      </c>
    </row>
    <row r="383" spans="1:13" x14ac:dyDescent="0.35">
      <c r="A383" t="s">
        <v>424</v>
      </c>
      <c r="B383" s="1">
        <v>45937</v>
      </c>
      <c r="C383" t="s">
        <v>417</v>
      </c>
      <c r="D383" t="s">
        <v>53</v>
      </c>
      <c r="E383">
        <v>389</v>
      </c>
      <c r="F383">
        <v>22</v>
      </c>
      <c r="G383">
        <v>48</v>
      </c>
      <c r="H383">
        <v>363</v>
      </c>
      <c r="I383" t="s">
        <v>20</v>
      </c>
      <c r="J383">
        <v>732</v>
      </c>
      <c r="K383">
        <v>35136</v>
      </c>
      <c r="L383">
        <v>20</v>
      </c>
      <c r="M383" t="s">
        <v>24</v>
      </c>
    </row>
    <row r="384" spans="1:13" x14ac:dyDescent="0.35">
      <c r="A384" t="s">
        <v>425</v>
      </c>
      <c r="B384" s="1">
        <v>45937</v>
      </c>
      <c r="C384" t="s">
        <v>417</v>
      </c>
      <c r="D384" t="s">
        <v>40</v>
      </c>
      <c r="E384">
        <v>132</v>
      </c>
      <c r="F384">
        <v>87</v>
      </c>
      <c r="G384">
        <v>49</v>
      </c>
      <c r="H384">
        <v>170</v>
      </c>
      <c r="I384" t="s">
        <v>20</v>
      </c>
      <c r="J384">
        <v>683</v>
      </c>
      <c r="K384">
        <v>33467</v>
      </c>
      <c r="L384">
        <v>25</v>
      </c>
      <c r="M384" t="s">
        <v>21</v>
      </c>
    </row>
    <row r="385" spans="1:13" x14ac:dyDescent="0.35">
      <c r="A385" t="s">
        <v>426</v>
      </c>
      <c r="B385" s="1">
        <v>45937</v>
      </c>
      <c r="C385" t="s">
        <v>417</v>
      </c>
      <c r="D385" t="s">
        <v>38</v>
      </c>
      <c r="E385">
        <v>151</v>
      </c>
      <c r="F385">
        <v>54</v>
      </c>
      <c r="G385">
        <v>6</v>
      </c>
      <c r="H385">
        <v>199</v>
      </c>
      <c r="I385" t="s">
        <v>30</v>
      </c>
      <c r="J385">
        <v>206</v>
      </c>
      <c r="K385">
        <v>1236</v>
      </c>
      <c r="L385">
        <v>30</v>
      </c>
      <c r="M385" t="s">
        <v>17</v>
      </c>
    </row>
    <row r="386" spans="1:13" x14ac:dyDescent="0.35">
      <c r="A386" t="s">
        <v>427</v>
      </c>
      <c r="B386" s="1">
        <v>45937</v>
      </c>
      <c r="C386" t="s">
        <v>417</v>
      </c>
      <c r="D386" t="s">
        <v>55</v>
      </c>
      <c r="E386">
        <v>429</v>
      </c>
      <c r="F386">
        <v>31</v>
      </c>
      <c r="G386">
        <v>9</v>
      </c>
      <c r="H386">
        <v>451</v>
      </c>
      <c r="I386" t="s">
        <v>16</v>
      </c>
      <c r="J386">
        <v>913</v>
      </c>
      <c r="K386">
        <v>8217</v>
      </c>
      <c r="L386">
        <v>10</v>
      </c>
      <c r="M386" t="s">
        <v>17</v>
      </c>
    </row>
    <row r="387" spans="1:13" x14ac:dyDescent="0.35">
      <c r="A387" t="s">
        <v>428</v>
      </c>
      <c r="B387" s="1">
        <v>45937</v>
      </c>
      <c r="C387" t="s">
        <v>417</v>
      </c>
      <c r="D387" t="s">
        <v>15</v>
      </c>
      <c r="E387">
        <v>58</v>
      </c>
      <c r="F387">
        <v>47</v>
      </c>
      <c r="G387">
        <v>37</v>
      </c>
      <c r="H387">
        <v>68</v>
      </c>
      <c r="I387" t="s">
        <v>42</v>
      </c>
      <c r="J387">
        <v>2331</v>
      </c>
      <c r="K387">
        <v>86247</v>
      </c>
      <c r="L387">
        <v>12</v>
      </c>
      <c r="M387" t="s">
        <v>17</v>
      </c>
    </row>
    <row r="388" spans="1:13" x14ac:dyDescent="0.35">
      <c r="A388" t="s">
        <v>429</v>
      </c>
      <c r="B388" s="1">
        <v>45940</v>
      </c>
      <c r="C388" t="s">
        <v>417</v>
      </c>
      <c r="D388" t="s">
        <v>38</v>
      </c>
      <c r="E388">
        <v>401</v>
      </c>
      <c r="F388">
        <v>54</v>
      </c>
      <c r="G388">
        <v>35</v>
      </c>
      <c r="H388">
        <v>420</v>
      </c>
      <c r="I388" t="s">
        <v>20</v>
      </c>
      <c r="J388">
        <v>84</v>
      </c>
      <c r="K388">
        <v>2940</v>
      </c>
      <c r="L388">
        <v>30</v>
      </c>
      <c r="M388" t="s">
        <v>17</v>
      </c>
    </row>
    <row r="389" spans="1:13" x14ac:dyDescent="0.35">
      <c r="A389" t="s">
        <v>430</v>
      </c>
      <c r="B389" s="1">
        <v>45941</v>
      </c>
      <c r="C389" t="s">
        <v>417</v>
      </c>
      <c r="D389" t="s">
        <v>38</v>
      </c>
      <c r="E389">
        <v>311</v>
      </c>
      <c r="F389">
        <v>44</v>
      </c>
      <c r="G389">
        <v>27</v>
      </c>
      <c r="H389">
        <v>328</v>
      </c>
      <c r="I389" t="s">
        <v>30</v>
      </c>
      <c r="J389">
        <v>249</v>
      </c>
      <c r="K389">
        <v>6723</v>
      </c>
      <c r="L389">
        <v>30</v>
      </c>
      <c r="M389" t="s">
        <v>21</v>
      </c>
    </row>
    <row r="390" spans="1:13" x14ac:dyDescent="0.35">
      <c r="A390" t="s">
        <v>431</v>
      </c>
      <c r="B390" s="1">
        <v>45941</v>
      </c>
      <c r="C390" t="s">
        <v>417</v>
      </c>
      <c r="D390" t="s">
        <v>26</v>
      </c>
      <c r="E390">
        <v>119</v>
      </c>
      <c r="F390">
        <v>34</v>
      </c>
      <c r="G390">
        <v>18</v>
      </c>
      <c r="H390">
        <v>135</v>
      </c>
      <c r="I390" t="s">
        <v>30</v>
      </c>
      <c r="J390">
        <v>2662</v>
      </c>
      <c r="K390">
        <v>47916</v>
      </c>
      <c r="L390">
        <v>15</v>
      </c>
      <c r="M390" t="s">
        <v>27</v>
      </c>
    </row>
    <row r="391" spans="1:13" x14ac:dyDescent="0.35">
      <c r="A391" t="s">
        <v>432</v>
      </c>
      <c r="B391" s="1">
        <v>45941</v>
      </c>
      <c r="C391" t="s">
        <v>417</v>
      </c>
      <c r="D391" t="s">
        <v>19</v>
      </c>
      <c r="E391">
        <v>105</v>
      </c>
      <c r="F391">
        <v>24</v>
      </c>
      <c r="G391">
        <v>26</v>
      </c>
      <c r="H391">
        <v>103</v>
      </c>
      <c r="I391" t="s">
        <v>16</v>
      </c>
      <c r="J391">
        <v>2061</v>
      </c>
      <c r="K391">
        <v>53586</v>
      </c>
      <c r="L391">
        <v>8</v>
      </c>
      <c r="M391" t="s">
        <v>50</v>
      </c>
    </row>
    <row r="392" spans="1:13" x14ac:dyDescent="0.35">
      <c r="A392" t="s">
        <v>433</v>
      </c>
      <c r="B392" s="1">
        <v>45941</v>
      </c>
      <c r="C392" t="s">
        <v>417</v>
      </c>
      <c r="D392" t="s">
        <v>53</v>
      </c>
      <c r="E392">
        <v>187</v>
      </c>
      <c r="F392">
        <v>9</v>
      </c>
      <c r="G392">
        <v>24</v>
      </c>
      <c r="H392">
        <v>172</v>
      </c>
      <c r="I392" t="s">
        <v>16</v>
      </c>
      <c r="J392">
        <v>766</v>
      </c>
      <c r="K392">
        <v>18384</v>
      </c>
      <c r="L392">
        <v>20</v>
      </c>
      <c r="M392" t="s">
        <v>50</v>
      </c>
    </row>
    <row r="393" spans="1:13" x14ac:dyDescent="0.35">
      <c r="A393" t="s">
        <v>434</v>
      </c>
      <c r="B393" s="1">
        <v>45941</v>
      </c>
      <c r="C393" t="s">
        <v>417</v>
      </c>
      <c r="D393" t="s">
        <v>53</v>
      </c>
      <c r="E393">
        <v>232</v>
      </c>
      <c r="F393">
        <v>55</v>
      </c>
      <c r="G393">
        <v>11</v>
      </c>
      <c r="H393">
        <v>276</v>
      </c>
      <c r="I393" t="s">
        <v>16</v>
      </c>
      <c r="J393">
        <v>849</v>
      </c>
      <c r="K393">
        <v>9339</v>
      </c>
      <c r="L393">
        <v>20</v>
      </c>
      <c r="M393" t="s">
        <v>24</v>
      </c>
    </row>
    <row r="394" spans="1:13" x14ac:dyDescent="0.35">
      <c r="A394" t="s">
        <v>435</v>
      </c>
      <c r="B394" s="1">
        <v>45942</v>
      </c>
      <c r="C394" t="s">
        <v>417</v>
      </c>
      <c r="D394" t="s">
        <v>38</v>
      </c>
      <c r="E394">
        <v>423</v>
      </c>
      <c r="F394">
        <v>70</v>
      </c>
      <c r="G394">
        <v>15</v>
      </c>
      <c r="H394">
        <v>478</v>
      </c>
      <c r="I394" t="s">
        <v>16</v>
      </c>
      <c r="J394">
        <v>128</v>
      </c>
      <c r="K394">
        <v>1920</v>
      </c>
      <c r="L394">
        <v>30</v>
      </c>
      <c r="M394" t="s">
        <v>17</v>
      </c>
    </row>
    <row r="395" spans="1:13" x14ac:dyDescent="0.35">
      <c r="A395" t="s">
        <v>436</v>
      </c>
      <c r="B395" s="1">
        <v>45943</v>
      </c>
      <c r="C395" t="s">
        <v>417</v>
      </c>
      <c r="D395" t="s">
        <v>23</v>
      </c>
      <c r="E395">
        <v>311</v>
      </c>
      <c r="F395">
        <v>17</v>
      </c>
      <c r="G395">
        <v>24</v>
      </c>
      <c r="H395">
        <v>304</v>
      </c>
      <c r="I395" t="s">
        <v>30</v>
      </c>
      <c r="J395">
        <v>1097</v>
      </c>
      <c r="K395">
        <v>26328</v>
      </c>
      <c r="L395">
        <v>12</v>
      </c>
      <c r="M395" t="s">
        <v>24</v>
      </c>
    </row>
    <row r="396" spans="1:13" x14ac:dyDescent="0.35">
      <c r="A396" t="s">
        <v>437</v>
      </c>
      <c r="B396" s="1">
        <v>45943</v>
      </c>
      <c r="C396" t="s">
        <v>417</v>
      </c>
      <c r="D396" t="s">
        <v>45</v>
      </c>
      <c r="E396">
        <v>342</v>
      </c>
      <c r="F396">
        <v>94</v>
      </c>
      <c r="G396">
        <v>58</v>
      </c>
      <c r="H396">
        <v>378</v>
      </c>
      <c r="I396" t="s">
        <v>16</v>
      </c>
      <c r="J396">
        <v>4217</v>
      </c>
      <c r="K396">
        <v>244586</v>
      </c>
      <c r="L396">
        <v>8</v>
      </c>
      <c r="M396" t="s">
        <v>27</v>
      </c>
    </row>
    <row r="397" spans="1:13" x14ac:dyDescent="0.35">
      <c r="A397" t="s">
        <v>438</v>
      </c>
      <c r="B397" s="1">
        <v>45943</v>
      </c>
      <c r="C397" t="s">
        <v>417</v>
      </c>
      <c r="D397" t="s">
        <v>53</v>
      </c>
      <c r="E397">
        <v>227</v>
      </c>
      <c r="F397">
        <v>96</v>
      </c>
      <c r="G397">
        <v>9</v>
      </c>
      <c r="H397">
        <v>314</v>
      </c>
      <c r="I397" t="s">
        <v>33</v>
      </c>
      <c r="J397">
        <v>453</v>
      </c>
      <c r="K397">
        <v>4077</v>
      </c>
      <c r="L397">
        <v>20</v>
      </c>
      <c r="M397" t="s">
        <v>50</v>
      </c>
    </row>
    <row r="398" spans="1:13" x14ac:dyDescent="0.35">
      <c r="A398" t="s">
        <v>439</v>
      </c>
      <c r="B398" s="1">
        <v>45945</v>
      </c>
      <c r="C398" t="s">
        <v>417</v>
      </c>
      <c r="D398" t="s">
        <v>40</v>
      </c>
      <c r="E398">
        <v>327</v>
      </c>
      <c r="F398">
        <v>42</v>
      </c>
      <c r="G398">
        <v>42</v>
      </c>
      <c r="H398">
        <v>327</v>
      </c>
      <c r="I398" t="s">
        <v>16</v>
      </c>
      <c r="J398">
        <v>245</v>
      </c>
      <c r="K398">
        <v>10290</v>
      </c>
      <c r="L398">
        <v>25</v>
      </c>
      <c r="M398" t="s">
        <v>21</v>
      </c>
    </row>
    <row r="399" spans="1:13" x14ac:dyDescent="0.35">
      <c r="A399" t="s">
        <v>440</v>
      </c>
      <c r="B399" s="1">
        <v>45946</v>
      </c>
      <c r="C399" t="s">
        <v>417</v>
      </c>
      <c r="D399" t="s">
        <v>38</v>
      </c>
      <c r="E399">
        <v>69</v>
      </c>
      <c r="F399">
        <v>71</v>
      </c>
      <c r="G399">
        <v>29</v>
      </c>
      <c r="H399">
        <v>111</v>
      </c>
      <c r="I399" t="s">
        <v>20</v>
      </c>
      <c r="J399">
        <v>237</v>
      </c>
      <c r="K399">
        <v>6873</v>
      </c>
      <c r="L399">
        <v>30</v>
      </c>
      <c r="M399" t="s">
        <v>21</v>
      </c>
    </row>
    <row r="400" spans="1:13" x14ac:dyDescent="0.35">
      <c r="A400" t="s">
        <v>441</v>
      </c>
      <c r="B400" s="1">
        <v>45946</v>
      </c>
      <c r="C400" t="s">
        <v>417</v>
      </c>
      <c r="D400" t="s">
        <v>29</v>
      </c>
      <c r="E400">
        <v>44</v>
      </c>
      <c r="F400">
        <v>78</v>
      </c>
      <c r="G400">
        <v>41</v>
      </c>
      <c r="H400">
        <v>81</v>
      </c>
      <c r="I400" t="s">
        <v>16</v>
      </c>
      <c r="J400">
        <v>82</v>
      </c>
      <c r="K400">
        <v>3362</v>
      </c>
      <c r="L400">
        <v>35</v>
      </c>
      <c r="M400" t="s">
        <v>21</v>
      </c>
    </row>
    <row r="401" spans="1:13" x14ac:dyDescent="0.35">
      <c r="A401" t="s">
        <v>442</v>
      </c>
      <c r="B401" s="1">
        <v>45947</v>
      </c>
      <c r="C401" t="s">
        <v>417</v>
      </c>
      <c r="D401" t="s">
        <v>38</v>
      </c>
      <c r="E401">
        <v>420</v>
      </c>
      <c r="F401">
        <v>98</v>
      </c>
      <c r="G401">
        <v>49</v>
      </c>
      <c r="H401">
        <v>469</v>
      </c>
      <c r="I401" t="s">
        <v>33</v>
      </c>
      <c r="J401">
        <v>333</v>
      </c>
      <c r="K401">
        <v>16317</v>
      </c>
      <c r="L401">
        <v>30</v>
      </c>
      <c r="M401" t="s">
        <v>17</v>
      </c>
    </row>
    <row r="402" spans="1:13" x14ac:dyDescent="0.35">
      <c r="A402" t="s">
        <v>443</v>
      </c>
      <c r="B402" s="1">
        <v>45948</v>
      </c>
      <c r="C402" t="s">
        <v>417</v>
      </c>
      <c r="D402" t="s">
        <v>38</v>
      </c>
      <c r="E402">
        <v>125</v>
      </c>
      <c r="F402">
        <v>47</v>
      </c>
      <c r="G402">
        <v>10</v>
      </c>
      <c r="H402">
        <v>162</v>
      </c>
      <c r="I402" t="s">
        <v>20</v>
      </c>
      <c r="J402">
        <v>210</v>
      </c>
      <c r="K402">
        <v>2100</v>
      </c>
      <c r="L402">
        <v>30</v>
      </c>
      <c r="M402" t="s">
        <v>17</v>
      </c>
    </row>
    <row r="403" spans="1:13" x14ac:dyDescent="0.35">
      <c r="A403" t="s">
        <v>444</v>
      </c>
      <c r="B403" s="1">
        <v>45948</v>
      </c>
      <c r="C403" t="s">
        <v>417</v>
      </c>
      <c r="D403" t="s">
        <v>19</v>
      </c>
      <c r="E403">
        <v>385</v>
      </c>
      <c r="F403">
        <v>96</v>
      </c>
      <c r="G403">
        <v>12</v>
      </c>
      <c r="H403">
        <v>469</v>
      </c>
      <c r="I403" t="s">
        <v>33</v>
      </c>
      <c r="J403">
        <v>1059</v>
      </c>
      <c r="K403">
        <v>12708</v>
      </c>
      <c r="L403">
        <v>8</v>
      </c>
      <c r="M403" t="s">
        <v>21</v>
      </c>
    </row>
    <row r="404" spans="1:13" x14ac:dyDescent="0.35">
      <c r="A404" t="s">
        <v>445</v>
      </c>
      <c r="B404" s="1">
        <v>45949</v>
      </c>
      <c r="C404" t="s">
        <v>417</v>
      </c>
      <c r="D404" t="s">
        <v>26</v>
      </c>
      <c r="E404">
        <v>166</v>
      </c>
      <c r="F404">
        <v>74</v>
      </c>
      <c r="G404">
        <v>38</v>
      </c>
      <c r="H404">
        <v>202</v>
      </c>
      <c r="I404" t="s">
        <v>33</v>
      </c>
      <c r="J404">
        <v>1962</v>
      </c>
      <c r="K404">
        <v>74556</v>
      </c>
      <c r="L404">
        <v>15</v>
      </c>
      <c r="M404" t="s">
        <v>27</v>
      </c>
    </row>
    <row r="405" spans="1:13" x14ac:dyDescent="0.35">
      <c r="A405" t="s">
        <v>446</v>
      </c>
      <c r="B405" s="1">
        <v>45949</v>
      </c>
      <c r="C405" t="s">
        <v>417</v>
      </c>
      <c r="D405" t="s">
        <v>40</v>
      </c>
      <c r="E405">
        <v>194</v>
      </c>
      <c r="F405">
        <v>51</v>
      </c>
      <c r="G405">
        <v>35</v>
      </c>
      <c r="H405">
        <v>210</v>
      </c>
      <c r="I405" t="s">
        <v>30</v>
      </c>
      <c r="J405">
        <v>120</v>
      </c>
      <c r="K405">
        <v>4200</v>
      </c>
      <c r="L405">
        <v>25</v>
      </c>
      <c r="M405" t="s">
        <v>21</v>
      </c>
    </row>
    <row r="406" spans="1:13" x14ac:dyDescent="0.35">
      <c r="A406" t="s">
        <v>447</v>
      </c>
      <c r="B406" s="1">
        <v>45950</v>
      </c>
      <c r="C406" t="s">
        <v>417</v>
      </c>
      <c r="D406" t="s">
        <v>26</v>
      </c>
      <c r="E406">
        <v>230</v>
      </c>
      <c r="F406">
        <v>15</v>
      </c>
      <c r="G406">
        <v>32</v>
      </c>
      <c r="H406">
        <v>213</v>
      </c>
      <c r="I406" t="s">
        <v>42</v>
      </c>
      <c r="J406">
        <v>2015</v>
      </c>
      <c r="K406">
        <v>64480</v>
      </c>
      <c r="L406">
        <v>15</v>
      </c>
      <c r="M406" t="s">
        <v>27</v>
      </c>
    </row>
    <row r="407" spans="1:13" x14ac:dyDescent="0.35">
      <c r="A407" t="s">
        <v>448</v>
      </c>
      <c r="B407" s="1">
        <v>45952</v>
      </c>
      <c r="C407" t="s">
        <v>417</v>
      </c>
      <c r="D407" t="s">
        <v>55</v>
      </c>
      <c r="E407">
        <v>203</v>
      </c>
      <c r="F407">
        <v>73</v>
      </c>
      <c r="G407">
        <v>38</v>
      </c>
      <c r="H407">
        <v>238</v>
      </c>
      <c r="I407" t="s">
        <v>30</v>
      </c>
      <c r="J407">
        <v>2277</v>
      </c>
      <c r="K407">
        <v>86526</v>
      </c>
      <c r="L407">
        <v>10</v>
      </c>
      <c r="M407" t="s">
        <v>17</v>
      </c>
    </row>
    <row r="408" spans="1:13" x14ac:dyDescent="0.35">
      <c r="A408" t="s">
        <v>449</v>
      </c>
      <c r="B408" s="1">
        <v>45952</v>
      </c>
      <c r="C408" t="s">
        <v>417</v>
      </c>
      <c r="D408" t="s">
        <v>23</v>
      </c>
      <c r="E408">
        <v>77</v>
      </c>
      <c r="F408">
        <v>16</v>
      </c>
      <c r="G408">
        <v>20</v>
      </c>
      <c r="H408">
        <v>73</v>
      </c>
      <c r="I408" t="s">
        <v>16</v>
      </c>
      <c r="J408">
        <v>751</v>
      </c>
      <c r="K408">
        <v>15020</v>
      </c>
      <c r="L408">
        <v>12</v>
      </c>
      <c r="M408" t="s">
        <v>50</v>
      </c>
    </row>
    <row r="409" spans="1:13" x14ac:dyDescent="0.35">
      <c r="A409" t="s">
        <v>450</v>
      </c>
      <c r="B409" s="1">
        <v>45953</v>
      </c>
      <c r="C409" t="s">
        <v>417</v>
      </c>
      <c r="D409" t="s">
        <v>19</v>
      </c>
      <c r="E409">
        <v>60</v>
      </c>
      <c r="F409">
        <v>97</v>
      </c>
      <c r="G409">
        <v>48</v>
      </c>
      <c r="H409">
        <v>109</v>
      </c>
      <c r="I409" t="s">
        <v>16</v>
      </c>
      <c r="J409">
        <v>1058</v>
      </c>
      <c r="K409">
        <v>50784</v>
      </c>
      <c r="L409">
        <v>8</v>
      </c>
      <c r="M409" t="s">
        <v>21</v>
      </c>
    </row>
    <row r="410" spans="1:13" x14ac:dyDescent="0.35">
      <c r="A410" t="s">
        <v>451</v>
      </c>
      <c r="B410" s="1">
        <v>45954</v>
      </c>
      <c r="C410" t="s">
        <v>417</v>
      </c>
      <c r="D410" t="s">
        <v>40</v>
      </c>
      <c r="E410">
        <v>377</v>
      </c>
      <c r="F410">
        <v>62</v>
      </c>
      <c r="G410">
        <v>55</v>
      </c>
      <c r="H410">
        <v>384</v>
      </c>
      <c r="I410" t="s">
        <v>16</v>
      </c>
      <c r="J410">
        <v>272</v>
      </c>
      <c r="K410">
        <v>14960</v>
      </c>
      <c r="L410">
        <v>25</v>
      </c>
      <c r="M410" t="s">
        <v>21</v>
      </c>
    </row>
    <row r="411" spans="1:13" x14ac:dyDescent="0.35">
      <c r="A411" t="s">
        <v>452</v>
      </c>
      <c r="B411" s="1">
        <v>45954</v>
      </c>
      <c r="C411" t="s">
        <v>417</v>
      </c>
      <c r="D411" t="s">
        <v>45</v>
      </c>
      <c r="E411">
        <v>416</v>
      </c>
      <c r="F411">
        <v>69</v>
      </c>
      <c r="G411">
        <v>3</v>
      </c>
      <c r="H411">
        <v>482</v>
      </c>
      <c r="I411" t="s">
        <v>20</v>
      </c>
      <c r="J411">
        <v>4784</v>
      </c>
      <c r="K411">
        <v>14352</v>
      </c>
      <c r="L411">
        <v>8</v>
      </c>
      <c r="M411" t="s">
        <v>17</v>
      </c>
    </row>
    <row r="412" spans="1:13" x14ac:dyDescent="0.35">
      <c r="A412" t="s">
        <v>453</v>
      </c>
      <c r="B412" s="1">
        <v>45955</v>
      </c>
      <c r="C412" t="s">
        <v>417</v>
      </c>
      <c r="D412" t="s">
        <v>38</v>
      </c>
      <c r="E412">
        <v>323</v>
      </c>
      <c r="F412">
        <v>94</v>
      </c>
      <c r="G412">
        <v>57</v>
      </c>
      <c r="H412">
        <v>360</v>
      </c>
      <c r="I412" t="s">
        <v>16</v>
      </c>
      <c r="J412">
        <v>101</v>
      </c>
      <c r="K412">
        <v>5757</v>
      </c>
      <c r="L412">
        <v>30</v>
      </c>
      <c r="M412" t="s">
        <v>17</v>
      </c>
    </row>
    <row r="413" spans="1:13" x14ac:dyDescent="0.35">
      <c r="A413" t="s">
        <v>454</v>
      </c>
      <c r="B413" s="1">
        <v>45955</v>
      </c>
      <c r="C413" t="s">
        <v>417</v>
      </c>
      <c r="D413" t="s">
        <v>40</v>
      </c>
      <c r="E413">
        <v>118</v>
      </c>
      <c r="F413">
        <v>21</v>
      </c>
      <c r="G413">
        <v>42</v>
      </c>
      <c r="H413">
        <v>97</v>
      </c>
      <c r="I413" t="s">
        <v>33</v>
      </c>
      <c r="J413">
        <v>465</v>
      </c>
      <c r="K413">
        <v>19530</v>
      </c>
      <c r="L413">
        <v>25</v>
      </c>
      <c r="M413" t="s">
        <v>27</v>
      </c>
    </row>
    <row r="414" spans="1:13" x14ac:dyDescent="0.35">
      <c r="A414" t="s">
        <v>455</v>
      </c>
      <c r="B414" s="1">
        <v>45955</v>
      </c>
      <c r="C414" t="s">
        <v>417</v>
      </c>
      <c r="D414" t="s">
        <v>26</v>
      </c>
      <c r="E414">
        <v>88</v>
      </c>
      <c r="F414">
        <v>64</v>
      </c>
      <c r="G414">
        <v>8</v>
      </c>
      <c r="H414">
        <v>144</v>
      </c>
      <c r="I414" t="s">
        <v>20</v>
      </c>
      <c r="J414">
        <v>3415</v>
      </c>
      <c r="K414">
        <v>27320</v>
      </c>
      <c r="L414">
        <v>15</v>
      </c>
      <c r="M414" t="s">
        <v>27</v>
      </c>
    </row>
    <row r="415" spans="1:13" x14ac:dyDescent="0.35">
      <c r="A415" t="s">
        <v>456</v>
      </c>
      <c r="B415" s="1">
        <v>45955</v>
      </c>
      <c r="C415" t="s">
        <v>417</v>
      </c>
      <c r="D415" t="s">
        <v>15</v>
      </c>
      <c r="E415">
        <v>175</v>
      </c>
      <c r="F415">
        <v>4</v>
      </c>
      <c r="G415">
        <v>6</v>
      </c>
      <c r="H415">
        <v>173</v>
      </c>
      <c r="I415" t="s">
        <v>16</v>
      </c>
      <c r="J415">
        <v>2421</v>
      </c>
      <c r="K415">
        <v>14526</v>
      </c>
      <c r="L415">
        <v>12</v>
      </c>
      <c r="M415" t="s">
        <v>17</v>
      </c>
    </row>
    <row r="416" spans="1:13" x14ac:dyDescent="0.35">
      <c r="A416" t="s">
        <v>457</v>
      </c>
      <c r="B416" s="1">
        <v>45956</v>
      </c>
      <c r="C416" t="s">
        <v>417</v>
      </c>
      <c r="D416" t="s">
        <v>45</v>
      </c>
      <c r="E416">
        <v>285</v>
      </c>
      <c r="F416">
        <v>21</v>
      </c>
      <c r="G416">
        <v>33</v>
      </c>
      <c r="H416">
        <v>273</v>
      </c>
      <c r="I416" t="s">
        <v>33</v>
      </c>
      <c r="J416">
        <v>6076</v>
      </c>
      <c r="K416">
        <v>200508</v>
      </c>
      <c r="L416">
        <v>8</v>
      </c>
      <c r="M416" t="s">
        <v>27</v>
      </c>
    </row>
    <row r="417" spans="1:13" x14ac:dyDescent="0.35">
      <c r="A417" t="s">
        <v>458</v>
      </c>
      <c r="B417" s="1">
        <v>45956</v>
      </c>
      <c r="C417" t="s">
        <v>417</v>
      </c>
      <c r="D417" t="s">
        <v>38</v>
      </c>
      <c r="E417">
        <v>113</v>
      </c>
      <c r="F417">
        <v>29</v>
      </c>
      <c r="G417">
        <v>29</v>
      </c>
      <c r="H417">
        <v>113</v>
      </c>
      <c r="I417" t="s">
        <v>16</v>
      </c>
      <c r="J417">
        <v>210</v>
      </c>
      <c r="K417">
        <v>6090</v>
      </c>
      <c r="L417">
        <v>30</v>
      </c>
      <c r="M417" t="s">
        <v>21</v>
      </c>
    </row>
    <row r="418" spans="1:13" x14ac:dyDescent="0.35">
      <c r="A418" t="s">
        <v>459</v>
      </c>
      <c r="B418" s="1">
        <v>45957</v>
      </c>
      <c r="C418" t="s">
        <v>417</v>
      </c>
      <c r="D418" t="s">
        <v>19</v>
      </c>
      <c r="E418">
        <v>235</v>
      </c>
      <c r="F418">
        <v>81</v>
      </c>
      <c r="G418">
        <v>60</v>
      </c>
      <c r="H418">
        <v>256</v>
      </c>
      <c r="I418" t="s">
        <v>20</v>
      </c>
      <c r="J418">
        <v>1460</v>
      </c>
      <c r="K418">
        <v>87600</v>
      </c>
      <c r="L418">
        <v>8</v>
      </c>
      <c r="M418" t="s">
        <v>50</v>
      </c>
    </row>
    <row r="419" spans="1:13" x14ac:dyDescent="0.35">
      <c r="A419" t="s">
        <v>460</v>
      </c>
      <c r="B419" s="1">
        <v>45958</v>
      </c>
      <c r="C419" t="s">
        <v>417</v>
      </c>
      <c r="D419" t="s">
        <v>53</v>
      </c>
      <c r="E419">
        <v>193</v>
      </c>
      <c r="F419">
        <v>81</v>
      </c>
      <c r="G419">
        <v>27</v>
      </c>
      <c r="H419">
        <v>247</v>
      </c>
      <c r="I419" t="s">
        <v>16</v>
      </c>
      <c r="J419">
        <v>506</v>
      </c>
      <c r="K419">
        <v>13662</v>
      </c>
      <c r="L419">
        <v>20</v>
      </c>
      <c r="M419" t="s">
        <v>50</v>
      </c>
    </row>
    <row r="420" spans="1:13" x14ac:dyDescent="0.35">
      <c r="A420" t="s">
        <v>461</v>
      </c>
      <c r="B420" s="1">
        <v>45958</v>
      </c>
      <c r="C420" t="s">
        <v>417</v>
      </c>
      <c r="D420" t="s">
        <v>55</v>
      </c>
      <c r="E420">
        <v>410</v>
      </c>
      <c r="F420">
        <v>85</v>
      </c>
      <c r="G420">
        <v>35</v>
      </c>
      <c r="H420">
        <v>460</v>
      </c>
      <c r="I420" t="s">
        <v>16</v>
      </c>
      <c r="J420">
        <v>1344</v>
      </c>
      <c r="K420">
        <v>47040</v>
      </c>
      <c r="L420">
        <v>10</v>
      </c>
      <c r="M420" t="s">
        <v>17</v>
      </c>
    </row>
    <row r="421" spans="1:13" x14ac:dyDescent="0.35">
      <c r="A421" t="s">
        <v>462</v>
      </c>
      <c r="B421" s="1">
        <v>45958</v>
      </c>
      <c r="C421" t="s">
        <v>417</v>
      </c>
      <c r="D421" t="s">
        <v>23</v>
      </c>
      <c r="E421">
        <v>364</v>
      </c>
      <c r="F421">
        <v>97</v>
      </c>
      <c r="G421">
        <v>53</v>
      </c>
      <c r="H421">
        <v>408</v>
      </c>
      <c r="I421" t="s">
        <v>30</v>
      </c>
      <c r="J421">
        <v>735</v>
      </c>
      <c r="K421">
        <v>38955</v>
      </c>
      <c r="L421">
        <v>12</v>
      </c>
      <c r="M421" t="s">
        <v>50</v>
      </c>
    </row>
    <row r="422" spans="1:13" x14ac:dyDescent="0.35">
      <c r="A422" t="s">
        <v>463</v>
      </c>
      <c r="B422" s="1">
        <v>45959</v>
      </c>
      <c r="C422" t="s">
        <v>417</v>
      </c>
      <c r="D422" t="s">
        <v>19</v>
      </c>
      <c r="E422">
        <v>429</v>
      </c>
      <c r="F422">
        <v>67</v>
      </c>
      <c r="G422">
        <v>38</v>
      </c>
      <c r="H422">
        <v>458</v>
      </c>
      <c r="I422" t="s">
        <v>20</v>
      </c>
      <c r="J422">
        <v>1279</v>
      </c>
      <c r="K422">
        <v>48602</v>
      </c>
      <c r="L422">
        <v>8</v>
      </c>
      <c r="M422" t="s">
        <v>50</v>
      </c>
    </row>
    <row r="423" spans="1:13" x14ac:dyDescent="0.35">
      <c r="A423" t="s">
        <v>464</v>
      </c>
      <c r="B423" s="1">
        <v>45961</v>
      </c>
      <c r="C423" t="s">
        <v>417</v>
      </c>
      <c r="D423" t="s">
        <v>23</v>
      </c>
      <c r="E423">
        <v>328</v>
      </c>
      <c r="F423">
        <v>84</v>
      </c>
      <c r="G423">
        <v>1</v>
      </c>
      <c r="H423">
        <v>411</v>
      </c>
      <c r="I423" t="s">
        <v>16</v>
      </c>
      <c r="J423">
        <v>771</v>
      </c>
      <c r="K423">
        <v>771</v>
      </c>
      <c r="L423">
        <v>12</v>
      </c>
      <c r="M423" t="s">
        <v>24</v>
      </c>
    </row>
    <row r="424" spans="1:13" x14ac:dyDescent="0.35">
      <c r="A424" t="s">
        <v>465</v>
      </c>
      <c r="B424" s="1">
        <v>45962</v>
      </c>
      <c r="C424" t="s">
        <v>466</v>
      </c>
      <c r="D424" t="s">
        <v>15</v>
      </c>
      <c r="E424">
        <v>402</v>
      </c>
      <c r="F424">
        <v>10</v>
      </c>
      <c r="G424">
        <v>19</v>
      </c>
      <c r="H424">
        <v>393</v>
      </c>
      <c r="I424" t="s">
        <v>16</v>
      </c>
      <c r="J424">
        <v>2344</v>
      </c>
      <c r="K424">
        <v>44536</v>
      </c>
      <c r="L424">
        <v>12</v>
      </c>
      <c r="M424" t="s">
        <v>17</v>
      </c>
    </row>
    <row r="425" spans="1:13" x14ac:dyDescent="0.35">
      <c r="A425" t="s">
        <v>467</v>
      </c>
      <c r="B425" s="1">
        <v>45962</v>
      </c>
      <c r="C425" t="s">
        <v>466</v>
      </c>
      <c r="D425" t="s">
        <v>38</v>
      </c>
      <c r="E425">
        <v>355</v>
      </c>
      <c r="F425">
        <v>25</v>
      </c>
      <c r="G425">
        <v>29</v>
      </c>
      <c r="H425">
        <v>351</v>
      </c>
      <c r="I425" t="s">
        <v>42</v>
      </c>
      <c r="J425">
        <v>134</v>
      </c>
      <c r="K425">
        <v>3886</v>
      </c>
      <c r="L425">
        <v>30</v>
      </c>
      <c r="M425" t="s">
        <v>21</v>
      </c>
    </row>
    <row r="426" spans="1:13" x14ac:dyDescent="0.35">
      <c r="A426" t="s">
        <v>468</v>
      </c>
      <c r="B426" s="1">
        <v>45963</v>
      </c>
      <c r="C426" t="s">
        <v>466</v>
      </c>
      <c r="D426" t="s">
        <v>38</v>
      </c>
      <c r="E426">
        <v>314</v>
      </c>
      <c r="F426">
        <v>2</v>
      </c>
      <c r="G426">
        <v>40</v>
      </c>
      <c r="H426">
        <v>276</v>
      </c>
      <c r="I426" t="s">
        <v>33</v>
      </c>
      <c r="J426">
        <v>343</v>
      </c>
      <c r="K426">
        <v>13720</v>
      </c>
      <c r="L426">
        <v>30</v>
      </c>
      <c r="M426" t="s">
        <v>17</v>
      </c>
    </row>
    <row r="427" spans="1:13" x14ac:dyDescent="0.35">
      <c r="A427" t="s">
        <v>469</v>
      </c>
      <c r="B427" s="1">
        <v>45963</v>
      </c>
      <c r="C427" t="s">
        <v>466</v>
      </c>
      <c r="D427" t="s">
        <v>23</v>
      </c>
      <c r="E427">
        <v>110</v>
      </c>
      <c r="F427">
        <v>73</v>
      </c>
      <c r="G427">
        <v>24</v>
      </c>
      <c r="H427">
        <v>159</v>
      </c>
      <c r="I427" t="s">
        <v>42</v>
      </c>
      <c r="J427">
        <v>1466</v>
      </c>
      <c r="K427">
        <v>35184</v>
      </c>
      <c r="L427">
        <v>12</v>
      </c>
      <c r="M427" t="s">
        <v>50</v>
      </c>
    </row>
    <row r="428" spans="1:13" x14ac:dyDescent="0.35">
      <c r="A428" t="s">
        <v>470</v>
      </c>
      <c r="B428" s="1">
        <v>45963</v>
      </c>
      <c r="C428" t="s">
        <v>466</v>
      </c>
      <c r="D428" t="s">
        <v>40</v>
      </c>
      <c r="E428">
        <v>83</v>
      </c>
      <c r="F428">
        <v>6</v>
      </c>
      <c r="G428">
        <v>9</v>
      </c>
      <c r="H428">
        <v>80</v>
      </c>
      <c r="I428" t="s">
        <v>33</v>
      </c>
      <c r="J428">
        <v>281</v>
      </c>
      <c r="K428">
        <v>2529</v>
      </c>
      <c r="L428">
        <v>25</v>
      </c>
      <c r="M428" t="s">
        <v>27</v>
      </c>
    </row>
    <row r="429" spans="1:13" x14ac:dyDescent="0.35">
      <c r="A429" t="s">
        <v>471</v>
      </c>
      <c r="B429" s="1">
        <v>45963</v>
      </c>
      <c r="C429" t="s">
        <v>466</v>
      </c>
      <c r="D429" t="s">
        <v>45</v>
      </c>
      <c r="E429">
        <v>282</v>
      </c>
      <c r="F429">
        <v>33</v>
      </c>
      <c r="G429">
        <v>41</v>
      </c>
      <c r="H429">
        <v>274</v>
      </c>
      <c r="I429" t="s">
        <v>33</v>
      </c>
      <c r="J429">
        <v>5869</v>
      </c>
      <c r="K429">
        <v>240629</v>
      </c>
      <c r="L429">
        <v>8</v>
      </c>
      <c r="M429" t="s">
        <v>17</v>
      </c>
    </row>
    <row r="430" spans="1:13" x14ac:dyDescent="0.35">
      <c r="A430" t="s">
        <v>472</v>
      </c>
      <c r="B430" s="1">
        <v>45964</v>
      </c>
      <c r="C430" t="s">
        <v>466</v>
      </c>
      <c r="D430" t="s">
        <v>38</v>
      </c>
      <c r="E430">
        <v>384</v>
      </c>
      <c r="F430">
        <v>90</v>
      </c>
      <c r="G430">
        <v>55</v>
      </c>
      <c r="H430">
        <v>419</v>
      </c>
      <c r="I430" t="s">
        <v>42</v>
      </c>
      <c r="J430">
        <v>104</v>
      </c>
      <c r="K430">
        <v>5720</v>
      </c>
      <c r="L430">
        <v>30</v>
      </c>
      <c r="M430" t="s">
        <v>17</v>
      </c>
    </row>
    <row r="431" spans="1:13" x14ac:dyDescent="0.35">
      <c r="A431" t="s">
        <v>473</v>
      </c>
      <c r="B431" s="1">
        <v>45964</v>
      </c>
      <c r="C431" t="s">
        <v>466</v>
      </c>
      <c r="D431" t="s">
        <v>55</v>
      </c>
      <c r="E431">
        <v>300</v>
      </c>
      <c r="F431">
        <v>95</v>
      </c>
      <c r="G431">
        <v>56</v>
      </c>
      <c r="H431">
        <v>339</v>
      </c>
      <c r="I431" t="s">
        <v>20</v>
      </c>
      <c r="J431">
        <v>1179</v>
      </c>
      <c r="K431">
        <v>66024</v>
      </c>
      <c r="L431">
        <v>10</v>
      </c>
      <c r="M431" t="s">
        <v>50</v>
      </c>
    </row>
    <row r="432" spans="1:13" x14ac:dyDescent="0.35">
      <c r="A432" t="s">
        <v>474</v>
      </c>
      <c r="B432" s="1">
        <v>45965</v>
      </c>
      <c r="C432" t="s">
        <v>466</v>
      </c>
      <c r="D432" t="s">
        <v>29</v>
      </c>
      <c r="E432">
        <v>347</v>
      </c>
      <c r="F432">
        <v>92</v>
      </c>
      <c r="G432">
        <v>38</v>
      </c>
      <c r="H432">
        <v>401</v>
      </c>
      <c r="I432" t="s">
        <v>20</v>
      </c>
      <c r="J432">
        <v>112</v>
      </c>
      <c r="K432">
        <v>4256</v>
      </c>
      <c r="L432">
        <v>35</v>
      </c>
      <c r="M432" t="s">
        <v>21</v>
      </c>
    </row>
    <row r="433" spans="1:13" x14ac:dyDescent="0.35">
      <c r="A433" t="s">
        <v>475</v>
      </c>
      <c r="B433" s="1">
        <v>45966</v>
      </c>
      <c r="C433" t="s">
        <v>466</v>
      </c>
      <c r="D433" t="s">
        <v>40</v>
      </c>
      <c r="E433">
        <v>94</v>
      </c>
      <c r="F433">
        <v>42</v>
      </c>
      <c r="G433">
        <v>18</v>
      </c>
      <c r="H433">
        <v>118</v>
      </c>
      <c r="I433" t="s">
        <v>33</v>
      </c>
      <c r="J433">
        <v>585</v>
      </c>
      <c r="K433">
        <v>10530</v>
      </c>
      <c r="L433">
        <v>25</v>
      </c>
      <c r="M433" t="s">
        <v>21</v>
      </c>
    </row>
    <row r="434" spans="1:13" x14ac:dyDescent="0.35">
      <c r="A434" t="s">
        <v>476</v>
      </c>
      <c r="B434" s="1">
        <v>45967</v>
      </c>
      <c r="C434" t="s">
        <v>466</v>
      </c>
      <c r="D434" t="s">
        <v>53</v>
      </c>
      <c r="E434">
        <v>283</v>
      </c>
      <c r="F434">
        <v>64</v>
      </c>
      <c r="G434">
        <v>9</v>
      </c>
      <c r="H434">
        <v>338</v>
      </c>
      <c r="I434" t="s">
        <v>16</v>
      </c>
      <c r="J434">
        <v>313</v>
      </c>
      <c r="K434">
        <v>2817</v>
      </c>
      <c r="L434">
        <v>20</v>
      </c>
      <c r="M434" t="s">
        <v>24</v>
      </c>
    </row>
    <row r="435" spans="1:13" x14ac:dyDescent="0.35">
      <c r="A435" t="s">
        <v>477</v>
      </c>
      <c r="B435" s="1">
        <v>45968</v>
      </c>
      <c r="C435" t="s">
        <v>466</v>
      </c>
      <c r="D435" t="s">
        <v>15</v>
      </c>
      <c r="E435">
        <v>497</v>
      </c>
      <c r="F435">
        <v>65</v>
      </c>
      <c r="G435">
        <v>8</v>
      </c>
      <c r="H435">
        <v>554</v>
      </c>
      <c r="I435" t="s">
        <v>33</v>
      </c>
      <c r="J435">
        <v>1871</v>
      </c>
      <c r="K435">
        <v>14968</v>
      </c>
      <c r="L435">
        <v>12</v>
      </c>
      <c r="M435" t="s">
        <v>17</v>
      </c>
    </row>
    <row r="436" spans="1:13" x14ac:dyDescent="0.35">
      <c r="A436" t="s">
        <v>478</v>
      </c>
      <c r="B436" s="1">
        <v>45968</v>
      </c>
      <c r="C436" t="s">
        <v>466</v>
      </c>
      <c r="D436" t="s">
        <v>38</v>
      </c>
      <c r="E436">
        <v>231</v>
      </c>
      <c r="F436">
        <v>53</v>
      </c>
      <c r="G436">
        <v>44</v>
      </c>
      <c r="H436">
        <v>240</v>
      </c>
      <c r="I436" t="s">
        <v>33</v>
      </c>
      <c r="J436">
        <v>321</v>
      </c>
      <c r="K436">
        <v>14124</v>
      </c>
      <c r="L436">
        <v>30</v>
      </c>
      <c r="M436" t="s">
        <v>17</v>
      </c>
    </row>
    <row r="437" spans="1:13" x14ac:dyDescent="0.35">
      <c r="A437" t="s">
        <v>479</v>
      </c>
      <c r="B437" s="1">
        <v>45969</v>
      </c>
      <c r="C437" t="s">
        <v>466</v>
      </c>
      <c r="D437" t="s">
        <v>40</v>
      </c>
      <c r="E437">
        <v>68</v>
      </c>
      <c r="F437">
        <v>39</v>
      </c>
      <c r="G437">
        <v>42</v>
      </c>
      <c r="H437">
        <v>65</v>
      </c>
      <c r="I437" t="s">
        <v>20</v>
      </c>
      <c r="J437">
        <v>299</v>
      </c>
      <c r="K437">
        <v>12558</v>
      </c>
      <c r="L437">
        <v>25</v>
      </c>
      <c r="M437" t="s">
        <v>27</v>
      </c>
    </row>
    <row r="438" spans="1:13" x14ac:dyDescent="0.35">
      <c r="A438" t="s">
        <v>480</v>
      </c>
      <c r="B438" s="1">
        <v>45969</v>
      </c>
      <c r="C438" t="s">
        <v>466</v>
      </c>
      <c r="D438" t="s">
        <v>29</v>
      </c>
      <c r="E438">
        <v>310</v>
      </c>
      <c r="F438">
        <v>54</v>
      </c>
      <c r="G438">
        <v>7</v>
      </c>
      <c r="H438">
        <v>357</v>
      </c>
      <c r="I438" t="s">
        <v>42</v>
      </c>
      <c r="J438">
        <v>113</v>
      </c>
      <c r="K438">
        <v>791</v>
      </c>
      <c r="L438">
        <v>35</v>
      </c>
      <c r="M438" t="s">
        <v>21</v>
      </c>
    </row>
    <row r="439" spans="1:13" x14ac:dyDescent="0.35">
      <c r="A439" t="s">
        <v>481</v>
      </c>
      <c r="B439" s="1">
        <v>45970</v>
      </c>
      <c r="C439" t="s">
        <v>466</v>
      </c>
      <c r="D439" t="s">
        <v>38</v>
      </c>
      <c r="E439">
        <v>475</v>
      </c>
      <c r="F439">
        <v>98</v>
      </c>
      <c r="G439">
        <v>4</v>
      </c>
      <c r="H439">
        <v>569</v>
      </c>
      <c r="I439" t="s">
        <v>16</v>
      </c>
      <c r="J439">
        <v>313</v>
      </c>
      <c r="K439">
        <v>1252</v>
      </c>
      <c r="L439">
        <v>30</v>
      </c>
      <c r="M439" t="s">
        <v>17</v>
      </c>
    </row>
    <row r="440" spans="1:13" x14ac:dyDescent="0.35">
      <c r="A440" t="s">
        <v>482</v>
      </c>
      <c r="B440" s="1">
        <v>45971</v>
      </c>
      <c r="C440" t="s">
        <v>466</v>
      </c>
      <c r="D440" t="s">
        <v>55</v>
      </c>
      <c r="E440">
        <v>186</v>
      </c>
      <c r="F440">
        <v>88</v>
      </c>
      <c r="G440">
        <v>58</v>
      </c>
      <c r="H440">
        <v>216</v>
      </c>
      <c r="I440" t="s">
        <v>42</v>
      </c>
      <c r="J440">
        <v>1905</v>
      </c>
      <c r="K440">
        <v>110490</v>
      </c>
      <c r="L440">
        <v>10</v>
      </c>
      <c r="M440" t="s">
        <v>17</v>
      </c>
    </row>
    <row r="441" spans="1:13" x14ac:dyDescent="0.35">
      <c r="A441" t="s">
        <v>483</v>
      </c>
      <c r="B441" s="1">
        <v>45971</v>
      </c>
      <c r="C441" t="s">
        <v>466</v>
      </c>
      <c r="D441" t="s">
        <v>29</v>
      </c>
      <c r="E441">
        <v>281</v>
      </c>
      <c r="F441">
        <v>94</v>
      </c>
      <c r="G441">
        <v>46</v>
      </c>
      <c r="H441">
        <v>329</v>
      </c>
      <c r="I441" t="s">
        <v>42</v>
      </c>
      <c r="J441">
        <v>55</v>
      </c>
      <c r="K441">
        <v>2530</v>
      </c>
      <c r="L441">
        <v>35</v>
      </c>
      <c r="M441" t="s">
        <v>17</v>
      </c>
    </row>
    <row r="442" spans="1:13" x14ac:dyDescent="0.35">
      <c r="A442" t="s">
        <v>484</v>
      </c>
      <c r="B442" s="1">
        <v>45971</v>
      </c>
      <c r="C442" t="s">
        <v>466</v>
      </c>
      <c r="D442" t="s">
        <v>38</v>
      </c>
      <c r="E442">
        <v>457</v>
      </c>
      <c r="F442">
        <v>92</v>
      </c>
      <c r="G442">
        <v>57</v>
      </c>
      <c r="H442">
        <v>492</v>
      </c>
      <c r="I442" t="s">
        <v>16</v>
      </c>
      <c r="J442">
        <v>338</v>
      </c>
      <c r="K442">
        <v>19266</v>
      </c>
      <c r="L442">
        <v>30</v>
      </c>
      <c r="M442" t="s">
        <v>21</v>
      </c>
    </row>
    <row r="443" spans="1:13" x14ac:dyDescent="0.35">
      <c r="A443" t="s">
        <v>485</v>
      </c>
      <c r="B443" s="1">
        <v>45972</v>
      </c>
      <c r="C443" t="s">
        <v>466</v>
      </c>
      <c r="D443" t="s">
        <v>19</v>
      </c>
      <c r="E443">
        <v>342</v>
      </c>
      <c r="F443">
        <v>10</v>
      </c>
      <c r="G443">
        <v>43</v>
      </c>
      <c r="H443">
        <v>309</v>
      </c>
      <c r="I443" t="s">
        <v>30</v>
      </c>
      <c r="J443">
        <v>974</v>
      </c>
      <c r="K443">
        <v>41882</v>
      </c>
      <c r="L443">
        <v>8</v>
      </c>
      <c r="M443" t="s">
        <v>50</v>
      </c>
    </row>
    <row r="444" spans="1:13" x14ac:dyDescent="0.35">
      <c r="A444" t="s">
        <v>486</v>
      </c>
      <c r="B444" s="1">
        <v>45972</v>
      </c>
      <c r="C444" t="s">
        <v>466</v>
      </c>
      <c r="D444" t="s">
        <v>53</v>
      </c>
      <c r="E444">
        <v>262</v>
      </c>
      <c r="F444">
        <v>35</v>
      </c>
      <c r="G444">
        <v>40</v>
      </c>
      <c r="H444">
        <v>257</v>
      </c>
      <c r="I444" t="s">
        <v>20</v>
      </c>
      <c r="J444">
        <v>308</v>
      </c>
      <c r="K444">
        <v>12320</v>
      </c>
      <c r="L444">
        <v>20</v>
      </c>
      <c r="M444" t="s">
        <v>50</v>
      </c>
    </row>
    <row r="445" spans="1:13" x14ac:dyDescent="0.35">
      <c r="A445" t="s">
        <v>487</v>
      </c>
      <c r="B445" s="1">
        <v>45973</v>
      </c>
      <c r="C445" t="s">
        <v>466</v>
      </c>
      <c r="D445" t="s">
        <v>38</v>
      </c>
      <c r="E445">
        <v>42</v>
      </c>
      <c r="F445">
        <v>10</v>
      </c>
      <c r="G445">
        <v>1</v>
      </c>
      <c r="H445">
        <v>51</v>
      </c>
      <c r="I445" t="s">
        <v>42</v>
      </c>
      <c r="J445">
        <v>211</v>
      </c>
      <c r="K445">
        <v>211</v>
      </c>
      <c r="L445">
        <v>30</v>
      </c>
      <c r="M445" t="s">
        <v>17</v>
      </c>
    </row>
    <row r="446" spans="1:13" x14ac:dyDescent="0.35">
      <c r="A446" t="s">
        <v>488</v>
      </c>
      <c r="B446" s="1">
        <v>45975</v>
      </c>
      <c r="C446" t="s">
        <v>466</v>
      </c>
      <c r="D446" t="s">
        <v>40</v>
      </c>
      <c r="E446">
        <v>70</v>
      </c>
      <c r="F446">
        <v>78</v>
      </c>
      <c r="G446">
        <v>47</v>
      </c>
      <c r="H446">
        <v>101</v>
      </c>
      <c r="I446" t="s">
        <v>42</v>
      </c>
      <c r="J446">
        <v>221</v>
      </c>
      <c r="K446">
        <v>10387</v>
      </c>
      <c r="L446">
        <v>25</v>
      </c>
      <c r="M446" t="s">
        <v>27</v>
      </c>
    </row>
    <row r="447" spans="1:13" x14ac:dyDescent="0.35">
      <c r="A447" t="s">
        <v>489</v>
      </c>
      <c r="B447" s="1">
        <v>45977</v>
      </c>
      <c r="C447" t="s">
        <v>466</v>
      </c>
      <c r="D447" t="s">
        <v>19</v>
      </c>
      <c r="E447">
        <v>364</v>
      </c>
      <c r="F447">
        <v>74</v>
      </c>
      <c r="G447">
        <v>35</v>
      </c>
      <c r="H447">
        <v>403</v>
      </c>
      <c r="I447" t="s">
        <v>30</v>
      </c>
      <c r="J447">
        <v>2158</v>
      </c>
      <c r="K447">
        <v>75530</v>
      </c>
      <c r="L447">
        <v>8</v>
      </c>
      <c r="M447" t="s">
        <v>21</v>
      </c>
    </row>
    <row r="448" spans="1:13" x14ac:dyDescent="0.35">
      <c r="A448" t="s">
        <v>490</v>
      </c>
      <c r="B448" s="1">
        <v>45978</v>
      </c>
      <c r="C448" t="s">
        <v>466</v>
      </c>
      <c r="D448" t="s">
        <v>15</v>
      </c>
      <c r="E448">
        <v>195</v>
      </c>
      <c r="F448">
        <v>78</v>
      </c>
      <c r="G448">
        <v>34</v>
      </c>
      <c r="H448">
        <v>239</v>
      </c>
      <c r="I448" t="s">
        <v>33</v>
      </c>
      <c r="J448">
        <v>1391</v>
      </c>
      <c r="K448">
        <v>47294</v>
      </c>
      <c r="L448">
        <v>12</v>
      </c>
      <c r="M448" t="s">
        <v>21</v>
      </c>
    </row>
    <row r="449" spans="1:13" x14ac:dyDescent="0.35">
      <c r="A449" t="s">
        <v>491</v>
      </c>
      <c r="B449" s="1">
        <v>45979</v>
      </c>
      <c r="C449" t="s">
        <v>466</v>
      </c>
      <c r="D449" t="s">
        <v>55</v>
      </c>
      <c r="E449">
        <v>423</v>
      </c>
      <c r="F449">
        <v>19</v>
      </c>
      <c r="G449">
        <v>58</v>
      </c>
      <c r="H449">
        <v>384</v>
      </c>
      <c r="I449" t="s">
        <v>33</v>
      </c>
      <c r="J449">
        <v>1743</v>
      </c>
      <c r="K449">
        <v>101094</v>
      </c>
      <c r="L449">
        <v>10</v>
      </c>
      <c r="M449" t="s">
        <v>50</v>
      </c>
    </row>
    <row r="450" spans="1:13" x14ac:dyDescent="0.35">
      <c r="A450" t="s">
        <v>492</v>
      </c>
      <c r="B450" s="1">
        <v>45979</v>
      </c>
      <c r="C450" t="s">
        <v>466</v>
      </c>
      <c r="D450" t="s">
        <v>40</v>
      </c>
      <c r="E450">
        <v>79</v>
      </c>
      <c r="F450">
        <v>63</v>
      </c>
      <c r="G450">
        <v>29</v>
      </c>
      <c r="H450">
        <v>113</v>
      </c>
      <c r="I450" t="s">
        <v>30</v>
      </c>
      <c r="J450">
        <v>643</v>
      </c>
      <c r="K450">
        <v>18647</v>
      </c>
      <c r="L450">
        <v>25</v>
      </c>
      <c r="M450" t="s">
        <v>27</v>
      </c>
    </row>
    <row r="451" spans="1:13" x14ac:dyDescent="0.35">
      <c r="A451" t="s">
        <v>493</v>
      </c>
      <c r="B451" s="1">
        <v>45981</v>
      </c>
      <c r="C451" t="s">
        <v>466</v>
      </c>
      <c r="D451" t="s">
        <v>38</v>
      </c>
      <c r="E451">
        <v>133</v>
      </c>
      <c r="F451">
        <v>17</v>
      </c>
      <c r="G451">
        <v>4</v>
      </c>
      <c r="H451">
        <v>146</v>
      </c>
      <c r="I451" t="s">
        <v>20</v>
      </c>
      <c r="J451">
        <v>314</v>
      </c>
      <c r="K451">
        <v>1256</v>
      </c>
      <c r="L451">
        <v>30</v>
      </c>
      <c r="M451" t="s">
        <v>21</v>
      </c>
    </row>
    <row r="452" spans="1:13" x14ac:dyDescent="0.35">
      <c r="A452" t="s">
        <v>494</v>
      </c>
      <c r="B452" s="1">
        <v>45982</v>
      </c>
      <c r="C452" t="s">
        <v>466</v>
      </c>
      <c r="D452" t="s">
        <v>29</v>
      </c>
      <c r="E452">
        <v>98</v>
      </c>
      <c r="F452">
        <v>67</v>
      </c>
      <c r="G452">
        <v>32</v>
      </c>
      <c r="H452">
        <v>133</v>
      </c>
      <c r="I452" t="s">
        <v>30</v>
      </c>
      <c r="J452">
        <v>89</v>
      </c>
      <c r="K452">
        <v>2848</v>
      </c>
      <c r="L452">
        <v>35</v>
      </c>
      <c r="M452" t="s">
        <v>21</v>
      </c>
    </row>
    <row r="453" spans="1:13" x14ac:dyDescent="0.35">
      <c r="A453" t="s">
        <v>495</v>
      </c>
      <c r="B453" s="1">
        <v>45985</v>
      </c>
      <c r="C453" t="s">
        <v>466</v>
      </c>
      <c r="D453" t="s">
        <v>26</v>
      </c>
      <c r="E453">
        <v>314</v>
      </c>
      <c r="F453">
        <v>68</v>
      </c>
      <c r="G453">
        <v>39</v>
      </c>
      <c r="H453">
        <v>343</v>
      </c>
      <c r="I453" t="s">
        <v>30</v>
      </c>
      <c r="J453">
        <v>2425</v>
      </c>
      <c r="K453">
        <v>94575</v>
      </c>
      <c r="L453">
        <v>15</v>
      </c>
      <c r="M453" t="s">
        <v>27</v>
      </c>
    </row>
    <row r="454" spans="1:13" x14ac:dyDescent="0.35">
      <c r="A454" t="s">
        <v>496</v>
      </c>
      <c r="B454" s="1">
        <v>45986</v>
      </c>
      <c r="C454" t="s">
        <v>466</v>
      </c>
      <c r="D454" t="s">
        <v>29</v>
      </c>
      <c r="E454">
        <v>70</v>
      </c>
      <c r="F454">
        <v>67</v>
      </c>
      <c r="G454">
        <v>2</v>
      </c>
      <c r="H454">
        <v>135</v>
      </c>
      <c r="I454" t="s">
        <v>20</v>
      </c>
      <c r="J454">
        <v>59</v>
      </c>
      <c r="K454">
        <v>118</v>
      </c>
      <c r="L454">
        <v>35</v>
      </c>
      <c r="M454" t="s">
        <v>17</v>
      </c>
    </row>
    <row r="455" spans="1:13" x14ac:dyDescent="0.35">
      <c r="A455" t="s">
        <v>497</v>
      </c>
      <c r="B455" s="1">
        <v>45987</v>
      </c>
      <c r="C455" t="s">
        <v>466</v>
      </c>
      <c r="D455" t="s">
        <v>40</v>
      </c>
      <c r="E455">
        <v>365</v>
      </c>
      <c r="F455">
        <v>79</v>
      </c>
      <c r="G455">
        <v>20</v>
      </c>
      <c r="H455">
        <v>424</v>
      </c>
      <c r="I455" t="s">
        <v>42</v>
      </c>
      <c r="J455">
        <v>443</v>
      </c>
      <c r="K455">
        <v>8860</v>
      </c>
      <c r="L455">
        <v>25</v>
      </c>
      <c r="M455" t="s">
        <v>21</v>
      </c>
    </row>
    <row r="456" spans="1:13" x14ac:dyDescent="0.35">
      <c r="A456" t="s">
        <v>498</v>
      </c>
      <c r="B456" s="1">
        <v>45988</v>
      </c>
      <c r="C456" t="s">
        <v>466</v>
      </c>
      <c r="D456" t="s">
        <v>38</v>
      </c>
      <c r="E456">
        <v>404</v>
      </c>
      <c r="F456">
        <v>62</v>
      </c>
      <c r="G456">
        <v>28</v>
      </c>
      <c r="H456">
        <v>438</v>
      </c>
      <c r="I456" t="s">
        <v>20</v>
      </c>
      <c r="J456">
        <v>88</v>
      </c>
      <c r="K456">
        <v>2464</v>
      </c>
      <c r="L456">
        <v>30</v>
      </c>
      <c r="M456" t="s">
        <v>21</v>
      </c>
    </row>
    <row r="457" spans="1:13" x14ac:dyDescent="0.35">
      <c r="A457" t="s">
        <v>499</v>
      </c>
      <c r="B457" s="1">
        <v>45988</v>
      </c>
      <c r="C457" t="s">
        <v>466</v>
      </c>
      <c r="D457" t="s">
        <v>19</v>
      </c>
      <c r="E457">
        <v>70</v>
      </c>
      <c r="F457">
        <v>98</v>
      </c>
      <c r="G457">
        <v>5</v>
      </c>
      <c r="H457">
        <v>163</v>
      </c>
      <c r="I457" t="s">
        <v>33</v>
      </c>
      <c r="J457">
        <v>2035</v>
      </c>
      <c r="K457">
        <v>10175</v>
      </c>
      <c r="L457">
        <v>8</v>
      </c>
      <c r="M457" t="s">
        <v>50</v>
      </c>
    </row>
    <row r="458" spans="1:13" x14ac:dyDescent="0.35">
      <c r="A458" t="s">
        <v>500</v>
      </c>
      <c r="B458" s="1">
        <v>45988</v>
      </c>
      <c r="C458" t="s">
        <v>466</v>
      </c>
      <c r="D458" t="s">
        <v>40</v>
      </c>
      <c r="E458">
        <v>386</v>
      </c>
      <c r="F458">
        <v>82</v>
      </c>
      <c r="G458">
        <v>25</v>
      </c>
      <c r="H458">
        <v>443</v>
      </c>
      <c r="I458" t="s">
        <v>16</v>
      </c>
      <c r="J458">
        <v>459</v>
      </c>
      <c r="K458">
        <v>11475</v>
      </c>
      <c r="L458">
        <v>25</v>
      </c>
      <c r="M458" t="s">
        <v>27</v>
      </c>
    </row>
    <row r="459" spans="1:13" x14ac:dyDescent="0.35">
      <c r="A459" t="s">
        <v>501</v>
      </c>
      <c r="B459" s="1">
        <v>45989</v>
      </c>
      <c r="C459" t="s">
        <v>466</v>
      </c>
      <c r="D459" t="s">
        <v>26</v>
      </c>
      <c r="E459">
        <v>466</v>
      </c>
      <c r="F459">
        <v>19</v>
      </c>
      <c r="G459">
        <v>31</v>
      </c>
      <c r="H459">
        <v>454</v>
      </c>
      <c r="I459" t="s">
        <v>33</v>
      </c>
      <c r="J459">
        <v>2995</v>
      </c>
      <c r="K459">
        <v>92845</v>
      </c>
      <c r="L459">
        <v>15</v>
      </c>
      <c r="M459" t="s">
        <v>21</v>
      </c>
    </row>
    <row r="460" spans="1:13" x14ac:dyDescent="0.35">
      <c r="A460" t="s">
        <v>502</v>
      </c>
      <c r="B460" s="1">
        <v>45989</v>
      </c>
      <c r="C460" t="s">
        <v>466</v>
      </c>
      <c r="D460" t="s">
        <v>53</v>
      </c>
      <c r="E460">
        <v>80</v>
      </c>
      <c r="F460">
        <v>57</v>
      </c>
      <c r="G460">
        <v>54</v>
      </c>
      <c r="H460">
        <v>83</v>
      </c>
      <c r="I460" t="s">
        <v>20</v>
      </c>
      <c r="J460">
        <v>629</v>
      </c>
      <c r="K460">
        <v>33966</v>
      </c>
      <c r="L460">
        <v>20</v>
      </c>
      <c r="M460" t="s">
        <v>24</v>
      </c>
    </row>
    <row r="461" spans="1:13" x14ac:dyDescent="0.35">
      <c r="A461" t="s">
        <v>503</v>
      </c>
      <c r="B461" s="1">
        <v>45990</v>
      </c>
      <c r="C461" t="s">
        <v>466</v>
      </c>
      <c r="D461" t="s">
        <v>19</v>
      </c>
      <c r="E461">
        <v>249</v>
      </c>
      <c r="F461">
        <v>14</v>
      </c>
      <c r="G461">
        <v>8</v>
      </c>
      <c r="H461">
        <v>255</v>
      </c>
      <c r="I461" t="s">
        <v>20</v>
      </c>
      <c r="J461">
        <v>792</v>
      </c>
      <c r="K461">
        <v>6336</v>
      </c>
      <c r="L461">
        <v>8</v>
      </c>
      <c r="M461" t="s">
        <v>21</v>
      </c>
    </row>
    <row r="462" spans="1:13" x14ac:dyDescent="0.35">
      <c r="A462" t="s">
        <v>504</v>
      </c>
      <c r="B462" s="1">
        <v>45991</v>
      </c>
      <c r="C462" t="s">
        <v>466</v>
      </c>
      <c r="D462" t="s">
        <v>23</v>
      </c>
      <c r="E462">
        <v>344</v>
      </c>
      <c r="F462">
        <v>17</v>
      </c>
      <c r="G462">
        <v>19</v>
      </c>
      <c r="H462">
        <v>342</v>
      </c>
      <c r="I462" t="s">
        <v>33</v>
      </c>
      <c r="J462">
        <v>1256</v>
      </c>
      <c r="K462">
        <v>23864</v>
      </c>
      <c r="L462">
        <v>12</v>
      </c>
      <c r="M462" t="s">
        <v>24</v>
      </c>
    </row>
    <row r="463" spans="1:13" x14ac:dyDescent="0.35">
      <c r="A463" t="s">
        <v>505</v>
      </c>
      <c r="B463" s="1">
        <v>45991</v>
      </c>
      <c r="C463" t="s">
        <v>466</v>
      </c>
      <c r="D463" t="s">
        <v>45</v>
      </c>
      <c r="E463">
        <v>316</v>
      </c>
      <c r="F463">
        <v>1</v>
      </c>
      <c r="G463">
        <v>5</v>
      </c>
      <c r="H463">
        <v>312</v>
      </c>
      <c r="I463" t="s">
        <v>42</v>
      </c>
      <c r="J463">
        <v>4468</v>
      </c>
      <c r="K463">
        <v>22340</v>
      </c>
      <c r="L463">
        <v>8</v>
      </c>
      <c r="M463" t="s">
        <v>27</v>
      </c>
    </row>
    <row r="464" spans="1:13" x14ac:dyDescent="0.35">
      <c r="A464" t="s">
        <v>506</v>
      </c>
      <c r="B464" s="1">
        <v>45992</v>
      </c>
      <c r="C464" t="s">
        <v>507</v>
      </c>
      <c r="D464" t="s">
        <v>23</v>
      </c>
      <c r="E464">
        <v>490</v>
      </c>
      <c r="F464">
        <v>60</v>
      </c>
      <c r="G464">
        <v>30</v>
      </c>
      <c r="H464">
        <v>520</v>
      </c>
      <c r="I464" t="s">
        <v>30</v>
      </c>
      <c r="J464">
        <v>1008</v>
      </c>
      <c r="K464">
        <v>30240</v>
      </c>
      <c r="L464">
        <v>12</v>
      </c>
      <c r="M464" t="s">
        <v>50</v>
      </c>
    </row>
    <row r="465" spans="1:13" x14ac:dyDescent="0.35">
      <c r="A465" t="s">
        <v>508</v>
      </c>
      <c r="B465" s="1">
        <v>45993</v>
      </c>
      <c r="C465" t="s">
        <v>507</v>
      </c>
      <c r="D465" t="s">
        <v>29</v>
      </c>
      <c r="E465">
        <v>390</v>
      </c>
      <c r="F465">
        <v>43</v>
      </c>
      <c r="G465">
        <v>16</v>
      </c>
      <c r="H465">
        <v>417</v>
      </c>
      <c r="I465" t="s">
        <v>16</v>
      </c>
      <c r="J465">
        <v>165</v>
      </c>
      <c r="K465">
        <v>2640</v>
      </c>
      <c r="L465">
        <v>35</v>
      </c>
      <c r="M465" t="s">
        <v>21</v>
      </c>
    </row>
    <row r="466" spans="1:13" x14ac:dyDescent="0.35">
      <c r="A466" t="s">
        <v>509</v>
      </c>
      <c r="B466" s="1">
        <v>45993</v>
      </c>
      <c r="C466" t="s">
        <v>507</v>
      </c>
      <c r="D466" t="s">
        <v>23</v>
      </c>
      <c r="E466">
        <v>90</v>
      </c>
      <c r="F466">
        <v>62</v>
      </c>
      <c r="G466">
        <v>39</v>
      </c>
      <c r="H466">
        <v>113</v>
      </c>
      <c r="I466" t="s">
        <v>30</v>
      </c>
      <c r="J466">
        <v>1435</v>
      </c>
      <c r="K466">
        <v>55965</v>
      </c>
      <c r="L466">
        <v>12</v>
      </c>
      <c r="M466" t="s">
        <v>24</v>
      </c>
    </row>
    <row r="467" spans="1:13" x14ac:dyDescent="0.35">
      <c r="A467" t="s">
        <v>510</v>
      </c>
      <c r="B467" s="1">
        <v>45994</v>
      </c>
      <c r="C467" t="s">
        <v>507</v>
      </c>
      <c r="D467" t="s">
        <v>23</v>
      </c>
      <c r="E467">
        <v>338</v>
      </c>
      <c r="F467">
        <v>72</v>
      </c>
      <c r="G467">
        <v>33</v>
      </c>
      <c r="H467">
        <v>377</v>
      </c>
      <c r="I467" t="s">
        <v>30</v>
      </c>
      <c r="J467">
        <v>1247</v>
      </c>
      <c r="K467">
        <v>41151</v>
      </c>
      <c r="L467">
        <v>12</v>
      </c>
      <c r="M467" t="s">
        <v>24</v>
      </c>
    </row>
    <row r="468" spans="1:13" x14ac:dyDescent="0.35">
      <c r="A468" t="s">
        <v>511</v>
      </c>
      <c r="B468" s="1">
        <v>45994</v>
      </c>
      <c r="C468" t="s">
        <v>507</v>
      </c>
      <c r="D468" t="s">
        <v>45</v>
      </c>
      <c r="E468">
        <v>232</v>
      </c>
      <c r="F468">
        <v>94</v>
      </c>
      <c r="G468">
        <v>46</v>
      </c>
      <c r="H468">
        <v>280</v>
      </c>
      <c r="I468" t="s">
        <v>20</v>
      </c>
      <c r="J468">
        <v>4759</v>
      </c>
      <c r="K468">
        <v>218914</v>
      </c>
      <c r="L468">
        <v>8</v>
      </c>
      <c r="M468" t="s">
        <v>17</v>
      </c>
    </row>
    <row r="469" spans="1:13" x14ac:dyDescent="0.35">
      <c r="A469" t="s">
        <v>512</v>
      </c>
      <c r="B469" s="1">
        <v>45994</v>
      </c>
      <c r="C469" t="s">
        <v>507</v>
      </c>
      <c r="D469" t="s">
        <v>15</v>
      </c>
      <c r="E469">
        <v>286</v>
      </c>
      <c r="F469">
        <v>28</v>
      </c>
      <c r="G469">
        <v>54</v>
      </c>
      <c r="H469">
        <v>260</v>
      </c>
      <c r="I469" t="s">
        <v>30</v>
      </c>
      <c r="J469">
        <v>1421</v>
      </c>
      <c r="K469">
        <v>76734</v>
      </c>
      <c r="L469">
        <v>12</v>
      </c>
      <c r="M469" t="s">
        <v>17</v>
      </c>
    </row>
    <row r="470" spans="1:13" x14ac:dyDescent="0.35">
      <c r="A470" t="s">
        <v>513</v>
      </c>
      <c r="B470" s="1">
        <v>45994</v>
      </c>
      <c r="C470" t="s">
        <v>507</v>
      </c>
      <c r="D470" t="s">
        <v>40</v>
      </c>
      <c r="E470">
        <v>464</v>
      </c>
      <c r="F470">
        <v>88</v>
      </c>
      <c r="G470">
        <v>17</v>
      </c>
      <c r="H470">
        <v>535</v>
      </c>
      <c r="I470" t="s">
        <v>42</v>
      </c>
      <c r="J470">
        <v>149</v>
      </c>
      <c r="K470">
        <v>2533</v>
      </c>
      <c r="L470">
        <v>25</v>
      </c>
      <c r="M470" t="s">
        <v>21</v>
      </c>
    </row>
    <row r="471" spans="1:13" x14ac:dyDescent="0.35">
      <c r="A471" t="s">
        <v>514</v>
      </c>
      <c r="B471" s="1">
        <v>45996</v>
      </c>
      <c r="C471" t="s">
        <v>507</v>
      </c>
      <c r="D471" t="s">
        <v>19</v>
      </c>
      <c r="E471">
        <v>81</v>
      </c>
      <c r="F471">
        <v>20</v>
      </c>
      <c r="G471">
        <v>15</v>
      </c>
      <c r="H471">
        <v>86</v>
      </c>
      <c r="I471" t="s">
        <v>33</v>
      </c>
      <c r="J471">
        <v>1055</v>
      </c>
      <c r="K471">
        <v>15825</v>
      </c>
      <c r="L471">
        <v>8</v>
      </c>
      <c r="M471" t="s">
        <v>50</v>
      </c>
    </row>
    <row r="472" spans="1:13" x14ac:dyDescent="0.35">
      <c r="A472" t="s">
        <v>515</v>
      </c>
      <c r="B472" s="1">
        <v>45996</v>
      </c>
      <c r="C472" t="s">
        <v>507</v>
      </c>
      <c r="D472" t="s">
        <v>29</v>
      </c>
      <c r="E472">
        <v>407</v>
      </c>
      <c r="F472">
        <v>62</v>
      </c>
      <c r="G472">
        <v>9</v>
      </c>
      <c r="H472">
        <v>460</v>
      </c>
      <c r="I472" t="s">
        <v>30</v>
      </c>
      <c r="J472">
        <v>88</v>
      </c>
      <c r="K472">
        <v>792</v>
      </c>
      <c r="L472">
        <v>35</v>
      </c>
      <c r="M472" t="s">
        <v>17</v>
      </c>
    </row>
    <row r="473" spans="1:13" x14ac:dyDescent="0.35">
      <c r="A473" t="s">
        <v>516</v>
      </c>
      <c r="B473" s="1">
        <v>45997</v>
      </c>
      <c r="C473" t="s">
        <v>507</v>
      </c>
      <c r="D473" t="s">
        <v>23</v>
      </c>
      <c r="E473">
        <v>106</v>
      </c>
      <c r="F473">
        <v>30</v>
      </c>
      <c r="G473">
        <v>18</v>
      </c>
      <c r="H473">
        <v>118</v>
      </c>
      <c r="I473" t="s">
        <v>30</v>
      </c>
      <c r="J473">
        <v>1134</v>
      </c>
      <c r="K473">
        <v>20412</v>
      </c>
      <c r="L473">
        <v>12</v>
      </c>
      <c r="M473" t="s">
        <v>50</v>
      </c>
    </row>
    <row r="474" spans="1:13" x14ac:dyDescent="0.35">
      <c r="A474" t="s">
        <v>517</v>
      </c>
      <c r="B474" s="1">
        <v>45998</v>
      </c>
      <c r="C474" t="s">
        <v>507</v>
      </c>
      <c r="D474" t="s">
        <v>15</v>
      </c>
      <c r="E474">
        <v>382</v>
      </c>
      <c r="F474">
        <v>10</v>
      </c>
      <c r="G474">
        <v>33</v>
      </c>
      <c r="H474">
        <v>359</v>
      </c>
      <c r="I474" t="s">
        <v>20</v>
      </c>
      <c r="J474">
        <v>1938</v>
      </c>
      <c r="K474">
        <v>63954</v>
      </c>
      <c r="L474">
        <v>12</v>
      </c>
      <c r="M474" t="s">
        <v>21</v>
      </c>
    </row>
    <row r="475" spans="1:13" x14ac:dyDescent="0.35">
      <c r="A475" t="s">
        <v>518</v>
      </c>
      <c r="B475" s="1">
        <v>45999</v>
      </c>
      <c r="C475" t="s">
        <v>507</v>
      </c>
      <c r="D475" t="s">
        <v>53</v>
      </c>
      <c r="E475">
        <v>217</v>
      </c>
      <c r="F475">
        <v>90</v>
      </c>
      <c r="G475">
        <v>4</v>
      </c>
      <c r="H475">
        <v>303</v>
      </c>
      <c r="I475" t="s">
        <v>33</v>
      </c>
      <c r="J475">
        <v>813</v>
      </c>
      <c r="K475">
        <v>3252</v>
      </c>
      <c r="L475">
        <v>20</v>
      </c>
      <c r="M475" t="s">
        <v>50</v>
      </c>
    </row>
    <row r="476" spans="1:13" x14ac:dyDescent="0.35">
      <c r="A476" t="s">
        <v>519</v>
      </c>
      <c r="B476" s="1">
        <v>46001</v>
      </c>
      <c r="C476" t="s">
        <v>507</v>
      </c>
      <c r="D476" t="s">
        <v>53</v>
      </c>
      <c r="E476">
        <v>420</v>
      </c>
      <c r="F476">
        <v>89</v>
      </c>
      <c r="G476">
        <v>60</v>
      </c>
      <c r="H476">
        <v>449</v>
      </c>
      <c r="I476" t="s">
        <v>16</v>
      </c>
      <c r="J476">
        <v>803</v>
      </c>
      <c r="K476">
        <v>48180</v>
      </c>
      <c r="L476">
        <v>20</v>
      </c>
      <c r="M476" t="s">
        <v>24</v>
      </c>
    </row>
    <row r="477" spans="1:13" x14ac:dyDescent="0.35">
      <c r="A477" t="s">
        <v>520</v>
      </c>
      <c r="B477" s="1">
        <v>46001</v>
      </c>
      <c r="C477" t="s">
        <v>507</v>
      </c>
      <c r="D477" t="s">
        <v>15</v>
      </c>
      <c r="E477">
        <v>399</v>
      </c>
      <c r="F477">
        <v>94</v>
      </c>
      <c r="G477">
        <v>43</v>
      </c>
      <c r="H477">
        <v>450</v>
      </c>
      <c r="I477" t="s">
        <v>20</v>
      </c>
      <c r="J477">
        <v>2278</v>
      </c>
      <c r="K477">
        <v>97954</v>
      </c>
      <c r="L477">
        <v>12</v>
      </c>
      <c r="M477" t="s">
        <v>17</v>
      </c>
    </row>
    <row r="478" spans="1:13" x14ac:dyDescent="0.35">
      <c r="A478" t="s">
        <v>521</v>
      </c>
      <c r="B478" s="1">
        <v>46005</v>
      </c>
      <c r="C478" t="s">
        <v>507</v>
      </c>
      <c r="D478" t="s">
        <v>40</v>
      </c>
      <c r="E478">
        <v>440</v>
      </c>
      <c r="F478">
        <v>56</v>
      </c>
      <c r="G478">
        <v>2</v>
      </c>
      <c r="H478">
        <v>494</v>
      </c>
      <c r="I478" t="s">
        <v>20</v>
      </c>
      <c r="J478">
        <v>249</v>
      </c>
      <c r="K478">
        <v>498</v>
      </c>
      <c r="L478">
        <v>25</v>
      </c>
      <c r="M478" t="s">
        <v>27</v>
      </c>
    </row>
    <row r="479" spans="1:13" x14ac:dyDescent="0.35">
      <c r="A479" t="s">
        <v>522</v>
      </c>
      <c r="B479" s="1">
        <v>46005</v>
      </c>
      <c r="C479" t="s">
        <v>507</v>
      </c>
      <c r="D479" t="s">
        <v>29</v>
      </c>
      <c r="E479">
        <v>457</v>
      </c>
      <c r="F479">
        <v>12</v>
      </c>
      <c r="G479">
        <v>8</v>
      </c>
      <c r="H479">
        <v>461</v>
      </c>
      <c r="I479" t="s">
        <v>20</v>
      </c>
      <c r="J479">
        <v>145</v>
      </c>
      <c r="K479">
        <v>1160</v>
      </c>
      <c r="L479">
        <v>35</v>
      </c>
      <c r="M479" t="s">
        <v>21</v>
      </c>
    </row>
    <row r="480" spans="1:13" x14ac:dyDescent="0.35">
      <c r="A480" t="s">
        <v>523</v>
      </c>
      <c r="B480" s="1">
        <v>46006</v>
      </c>
      <c r="C480" t="s">
        <v>507</v>
      </c>
      <c r="D480" t="s">
        <v>40</v>
      </c>
      <c r="E480">
        <v>352</v>
      </c>
      <c r="F480">
        <v>15</v>
      </c>
      <c r="G480">
        <v>8</v>
      </c>
      <c r="H480">
        <v>359</v>
      </c>
      <c r="I480" t="s">
        <v>16</v>
      </c>
      <c r="J480">
        <v>219</v>
      </c>
      <c r="K480">
        <v>1752</v>
      </c>
      <c r="L480">
        <v>25</v>
      </c>
      <c r="M480" t="s">
        <v>21</v>
      </c>
    </row>
    <row r="481" spans="1:13" x14ac:dyDescent="0.35">
      <c r="A481" t="s">
        <v>524</v>
      </c>
      <c r="B481" s="1">
        <v>46006</v>
      </c>
      <c r="C481" t="s">
        <v>507</v>
      </c>
      <c r="D481" t="s">
        <v>15</v>
      </c>
      <c r="E481">
        <v>164</v>
      </c>
      <c r="F481">
        <v>4</v>
      </c>
      <c r="G481">
        <v>36</v>
      </c>
      <c r="H481">
        <v>132</v>
      </c>
      <c r="I481" t="s">
        <v>20</v>
      </c>
      <c r="J481">
        <v>2634</v>
      </c>
      <c r="K481">
        <v>94824</v>
      </c>
      <c r="L481">
        <v>12</v>
      </c>
      <c r="M481" t="s">
        <v>21</v>
      </c>
    </row>
    <row r="482" spans="1:13" x14ac:dyDescent="0.35">
      <c r="A482" t="s">
        <v>525</v>
      </c>
      <c r="B482" s="1">
        <v>46006</v>
      </c>
      <c r="C482" t="s">
        <v>507</v>
      </c>
      <c r="D482" t="s">
        <v>55</v>
      </c>
      <c r="E482">
        <v>426</v>
      </c>
      <c r="F482">
        <v>76</v>
      </c>
      <c r="G482">
        <v>55</v>
      </c>
      <c r="H482">
        <v>447</v>
      </c>
      <c r="I482" t="s">
        <v>33</v>
      </c>
      <c r="J482">
        <v>1067</v>
      </c>
      <c r="K482">
        <v>58685</v>
      </c>
      <c r="L482">
        <v>10</v>
      </c>
      <c r="M482" t="s">
        <v>50</v>
      </c>
    </row>
    <row r="483" spans="1:13" x14ac:dyDescent="0.35">
      <c r="A483" t="s">
        <v>526</v>
      </c>
      <c r="B483" s="1">
        <v>46007</v>
      </c>
      <c r="C483" t="s">
        <v>507</v>
      </c>
      <c r="D483" t="s">
        <v>55</v>
      </c>
      <c r="E483">
        <v>167</v>
      </c>
      <c r="F483">
        <v>85</v>
      </c>
      <c r="G483">
        <v>6</v>
      </c>
      <c r="H483">
        <v>246</v>
      </c>
      <c r="I483" t="s">
        <v>33</v>
      </c>
      <c r="J483">
        <v>1624</v>
      </c>
      <c r="K483">
        <v>9744</v>
      </c>
      <c r="L483">
        <v>10</v>
      </c>
      <c r="M483" t="s">
        <v>50</v>
      </c>
    </row>
    <row r="484" spans="1:13" x14ac:dyDescent="0.35">
      <c r="A484" t="s">
        <v>527</v>
      </c>
      <c r="B484" s="1">
        <v>46007</v>
      </c>
      <c r="C484" t="s">
        <v>507</v>
      </c>
      <c r="D484" t="s">
        <v>53</v>
      </c>
      <c r="E484">
        <v>430</v>
      </c>
      <c r="F484">
        <v>6</v>
      </c>
      <c r="G484">
        <v>2</v>
      </c>
      <c r="H484">
        <v>434</v>
      </c>
      <c r="I484" t="s">
        <v>16</v>
      </c>
      <c r="J484">
        <v>351</v>
      </c>
      <c r="K484">
        <v>702</v>
      </c>
      <c r="L484">
        <v>20</v>
      </c>
      <c r="M484" t="s">
        <v>24</v>
      </c>
    </row>
    <row r="485" spans="1:13" x14ac:dyDescent="0.35">
      <c r="A485" t="s">
        <v>528</v>
      </c>
      <c r="B485" s="1">
        <v>46007</v>
      </c>
      <c r="C485" t="s">
        <v>507</v>
      </c>
      <c r="D485" t="s">
        <v>26</v>
      </c>
      <c r="E485">
        <v>493</v>
      </c>
      <c r="F485">
        <v>68</v>
      </c>
      <c r="G485">
        <v>48</v>
      </c>
      <c r="H485">
        <v>513</v>
      </c>
      <c r="I485" t="s">
        <v>30</v>
      </c>
      <c r="J485">
        <v>2892</v>
      </c>
      <c r="K485">
        <v>138816</v>
      </c>
      <c r="L485">
        <v>15</v>
      </c>
      <c r="M485" t="s">
        <v>27</v>
      </c>
    </row>
    <row r="486" spans="1:13" x14ac:dyDescent="0.35">
      <c r="A486" t="s">
        <v>529</v>
      </c>
      <c r="B486" s="1">
        <v>46009</v>
      </c>
      <c r="C486" t="s">
        <v>507</v>
      </c>
      <c r="D486" t="s">
        <v>40</v>
      </c>
      <c r="E486">
        <v>438</v>
      </c>
      <c r="F486">
        <v>95</v>
      </c>
      <c r="G486">
        <v>3</v>
      </c>
      <c r="H486">
        <v>530</v>
      </c>
      <c r="I486" t="s">
        <v>30</v>
      </c>
      <c r="J486">
        <v>628</v>
      </c>
      <c r="K486">
        <v>1884</v>
      </c>
      <c r="L486">
        <v>25</v>
      </c>
      <c r="M486" t="s">
        <v>27</v>
      </c>
    </row>
    <row r="487" spans="1:13" x14ac:dyDescent="0.35">
      <c r="A487" t="s">
        <v>530</v>
      </c>
      <c r="B487" s="1">
        <v>46010</v>
      </c>
      <c r="C487" t="s">
        <v>507</v>
      </c>
      <c r="D487" t="s">
        <v>40</v>
      </c>
      <c r="E487">
        <v>219</v>
      </c>
      <c r="F487">
        <v>90</v>
      </c>
      <c r="G487">
        <v>39</v>
      </c>
      <c r="H487">
        <v>270</v>
      </c>
      <c r="I487" t="s">
        <v>42</v>
      </c>
      <c r="J487">
        <v>558</v>
      </c>
      <c r="K487">
        <v>21762</v>
      </c>
      <c r="L487">
        <v>25</v>
      </c>
      <c r="M487" t="s">
        <v>27</v>
      </c>
    </row>
    <row r="488" spans="1:13" x14ac:dyDescent="0.35">
      <c r="A488" t="s">
        <v>531</v>
      </c>
      <c r="B488" s="1">
        <v>46011</v>
      </c>
      <c r="C488" t="s">
        <v>507</v>
      </c>
      <c r="D488" t="s">
        <v>55</v>
      </c>
      <c r="E488">
        <v>400</v>
      </c>
      <c r="F488">
        <v>62</v>
      </c>
      <c r="G488">
        <v>20</v>
      </c>
      <c r="H488">
        <v>442</v>
      </c>
      <c r="I488" t="s">
        <v>30</v>
      </c>
      <c r="J488">
        <v>1882</v>
      </c>
      <c r="K488">
        <v>37640</v>
      </c>
      <c r="L488">
        <v>10</v>
      </c>
      <c r="M488" t="s">
        <v>50</v>
      </c>
    </row>
    <row r="489" spans="1:13" x14ac:dyDescent="0.35">
      <c r="A489" t="s">
        <v>532</v>
      </c>
      <c r="B489" s="1">
        <v>46012</v>
      </c>
      <c r="C489" t="s">
        <v>507</v>
      </c>
      <c r="D489" t="s">
        <v>53</v>
      </c>
      <c r="E489">
        <v>160</v>
      </c>
      <c r="F489">
        <v>7</v>
      </c>
      <c r="G489">
        <v>42</v>
      </c>
      <c r="H489">
        <v>125</v>
      </c>
      <c r="I489" t="s">
        <v>16</v>
      </c>
      <c r="J489">
        <v>371</v>
      </c>
      <c r="K489">
        <v>15582</v>
      </c>
      <c r="L489">
        <v>20</v>
      </c>
      <c r="M489" t="s">
        <v>50</v>
      </c>
    </row>
    <row r="490" spans="1:13" x14ac:dyDescent="0.35">
      <c r="A490" t="s">
        <v>533</v>
      </c>
      <c r="B490" s="1">
        <v>46013</v>
      </c>
      <c r="C490" t="s">
        <v>507</v>
      </c>
      <c r="D490" t="s">
        <v>23</v>
      </c>
      <c r="E490">
        <v>118</v>
      </c>
      <c r="F490">
        <v>90</v>
      </c>
      <c r="G490">
        <v>13</v>
      </c>
      <c r="H490">
        <v>195</v>
      </c>
      <c r="I490" t="s">
        <v>16</v>
      </c>
      <c r="J490">
        <v>731</v>
      </c>
      <c r="K490">
        <v>9503</v>
      </c>
      <c r="L490">
        <v>12</v>
      </c>
      <c r="M490" t="s">
        <v>50</v>
      </c>
    </row>
    <row r="491" spans="1:13" x14ac:dyDescent="0.35">
      <c r="A491" t="s">
        <v>534</v>
      </c>
      <c r="B491" s="1">
        <v>46013</v>
      </c>
      <c r="C491" t="s">
        <v>507</v>
      </c>
      <c r="D491" t="s">
        <v>23</v>
      </c>
      <c r="E491">
        <v>293</v>
      </c>
      <c r="F491">
        <v>36</v>
      </c>
      <c r="G491">
        <v>42</v>
      </c>
      <c r="H491">
        <v>287</v>
      </c>
      <c r="I491" t="s">
        <v>33</v>
      </c>
      <c r="J491">
        <v>1420</v>
      </c>
      <c r="K491">
        <v>59640</v>
      </c>
      <c r="L491">
        <v>12</v>
      </c>
      <c r="M491" t="s">
        <v>24</v>
      </c>
    </row>
    <row r="492" spans="1:13" x14ac:dyDescent="0.35">
      <c r="A492" t="s">
        <v>535</v>
      </c>
      <c r="B492" s="1">
        <v>46013</v>
      </c>
      <c r="C492" t="s">
        <v>507</v>
      </c>
      <c r="D492" t="s">
        <v>29</v>
      </c>
      <c r="E492">
        <v>370</v>
      </c>
      <c r="F492">
        <v>22</v>
      </c>
      <c r="G492">
        <v>35</v>
      </c>
      <c r="H492">
        <v>357</v>
      </c>
      <c r="I492" t="s">
        <v>16</v>
      </c>
      <c r="J492">
        <v>82</v>
      </c>
      <c r="K492">
        <v>2870</v>
      </c>
      <c r="L492">
        <v>35</v>
      </c>
      <c r="M492" t="s">
        <v>21</v>
      </c>
    </row>
    <row r="493" spans="1:13" x14ac:dyDescent="0.35">
      <c r="A493" t="s">
        <v>536</v>
      </c>
      <c r="B493" s="1">
        <v>46014</v>
      </c>
      <c r="C493" t="s">
        <v>507</v>
      </c>
      <c r="D493" t="s">
        <v>55</v>
      </c>
      <c r="E493">
        <v>349</v>
      </c>
      <c r="F493">
        <v>90</v>
      </c>
      <c r="G493">
        <v>13</v>
      </c>
      <c r="H493">
        <v>426</v>
      </c>
      <c r="I493" t="s">
        <v>42</v>
      </c>
      <c r="J493">
        <v>1712</v>
      </c>
      <c r="K493">
        <v>22256</v>
      </c>
      <c r="L493">
        <v>10</v>
      </c>
      <c r="M493" t="s">
        <v>50</v>
      </c>
    </row>
    <row r="494" spans="1:13" x14ac:dyDescent="0.35">
      <c r="A494" t="s">
        <v>537</v>
      </c>
      <c r="B494" s="1">
        <v>46014</v>
      </c>
      <c r="C494" t="s">
        <v>507</v>
      </c>
      <c r="D494" t="s">
        <v>40</v>
      </c>
      <c r="E494">
        <v>50</v>
      </c>
      <c r="F494">
        <v>97</v>
      </c>
      <c r="G494">
        <v>36</v>
      </c>
      <c r="H494">
        <v>111</v>
      </c>
      <c r="I494" t="s">
        <v>16</v>
      </c>
      <c r="J494">
        <v>509</v>
      </c>
      <c r="K494">
        <v>18324</v>
      </c>
      <c r="L494">
        <v>25</v>
      </c>
      <c r="M494" t="s">
        <v>27</v>
      </c>
    </row>
    <row r="495" spans="1:13" x14ac:dyDescent="0.35">
      <c r="A495" t="s">
        <v>538</v>
      </c>
      <c r="B495" s="1">
        <v>46014</v>
      </c>
      <c r="C495" t="s">
        <v>507</v>
      </c>
      <c r="D495" t="s">
        <v>45</v>
      </c>
      <c r="E495">
        <v>215</v>
      </c>
      <c r="F495">
        <v>15</v>
      </c>
      <c r="G495">
        <v>55</v>
      </c>
      <c r="H495">
        <v>175</v>
      </c>
      <c r="I495" t="s">
        <v>42</v>
      </c>
      <c r="J495">
        <v>5229</v>
      </c>
      <c r="K495">
        <v>287595</v>
      </c>
      <c r="L495">
        <v>8</v>
      </c>
      <c r="M495" t="s">
        <v>27</v>
      </c>
    </row>
    <row r="496" spans="1:13" x14ac:dyDescent="0.35">
      <c r="A496" t="s">
        <v>539</v>
      </c>
      <c r="B496" s="1">
        <v>46015</v>
      </c>
      <c r="C496" t="s">
        <v>507</v>
      </c>
      <c r="D496" t="s">
        <v>55</v>
      </c>
      <c r="E496">
        <v>162</v>
      </c>
      <c r="F496">
        <v>73</v>
      </c>
      <c r="G496">
        <v>24</v>
      </c>
      <c r="H496">
        <v>211</v>
      </c>
      <c r="I496" t="s">
        <v>16</v>
      </c>
      <c r="J496">
        <v>1378</v>
      </c>
      <c r="K496">
        <v>33072</v>
      </c>
      <c r="L496">
        <v>10</v>
      </c>
      <c r="M496" t="s">
        <v>17</v>
      </c>
    </row>
    <row r="497" spans="1:13" x14ac:dyDescent="0.35">
      <c r="A497" t="s">
        <v>540</v>
      </c>
      <c r="B497" s="1">
        <v>46016</v>
      </c>
      <c r="C497" t="s">
        <v>507</v>
      </c>
      <c r="D497" t="s">
        <v>53</v>
      </c>
      <c r="E497">
        <v>72</v>
      </c>
      <c r="F497">
        <v>69</v>
      </c>
      <c r="G497">
        <v>3</v>
      </c>
      <c r="H497">
        <v>138</v>
      </c>
      <c r="I497" t="s">
        <v>16</v>
      </c>
      <c r="J497">
        <v>320</v>
      </c>
      <c r="K497">
        <v>960</v>
      </c>
      <c r="L497">
        <v>20</v>
      </c>
      <c r="M497" t="s">
        <v>24</v>
      </c>
    </row>
    <row r="498" spans="1:13" x14ac:dyDescent="0.35">
      <c r="A498" t="s">
        <v>541</v>
      </c>
      <c r="B498" s="1">
        <v>46017</v>
      </c>
      <c r="C498" t="s">
        <v>507</v>
      </c>
      <c r="D498" t="s">
        <v>15</v>
      </c>
      <c r="E498">
        <v>483</v>
      </c>
      <c r="F498">
        <v>16</v>
      </c>
      <c r="G498">
        <v>15</v>
      </c>
      <c r="H498">
        <v>484</v>
      </c>
      <c r="I498" t="s">
        <v>30</v>
      </c>
      <c r="J498">
        <v>1499</v>
      </c>
      <c r="K498">
        <v>22485</v>
      </c>
      <c r="L498">
        <v>12</v>
      </c>
      <c r="M498" t="s">
        <v>21</v>
      </c>
    </row>
    <row r="499" spans="1:13" x14ac:dyDescent="0.35">
      <c r="A499" t="s">
        <v>542</v>
      </c>
      <c r="B499" s="1">
        <v>46017</v>
      </c>
      <c r="C499" t="s">
        <v>507</v>
      </c>
      <c r="D499" t="s">
        <v>15</v>
      </c>
      <c r="E499">
        <v>45</v>
      </c>
      <c r="F499">
        <v>20</v>
      </c>
      <c r="G499">
        <v>31</v>
      </c>
      <c r="H499">
        <v>34</v>
      </c>
      <c r="I499" t="s">
        <v>33</v>
      </c>
      <c r="J499">
        <v>1910</v>
      </c>
      <c r="K499">
        <v>59210</v>
      </c>
      <c r="L499">
        <v>12</v>
      </c>
      <c r="M499" t="s">
        <v>17</v>
      </c>
    </row>
    <row r="500" spans="1:13" x14ac:dyDescent="0.35">
      <c r="A500" t="s">
        <v>543</v>
      </c>
      <c r="B500" s="1">
        <v>46017</v>
      </c>
      <c r="C500" t="s">
        <v>507</v>
      </c>
      <c r="D500" t="s">
        <v>15</v>
      </c>
      <c r="E500">
        <v>95</v>
      </c>
      <c r="F500">
        <v>48</v>
      </c>
      <c r="G500">
        <v>55</v>
      </c>
      <c r="H500">
        <v>88</v>
      </c>
      <c r="I500" t="s">
        <v>16</v>
      </c>
      <c r="J500">
        <v>1279</v>
      </c>
      <c r="K500">
        <v>70345</v>
      </c>
      <c r="L500">
        <v>12</v>
      </c>
      <c r="M500" t="s">
        <v>21</v>
      </c>
    </row>
    <row r="501" spans="1:13" x14ac:dyDescent="0.35">
      <c r="A501" t="s">
        <v>544</v>
      </c>
      <c r="B501" s="1">
        <v>46018</v>
      </c>
      <c r="C501" t="s">
        <v>507</v>
      </c>
      <c r="D501" t="s">
        <v>29</v>
      </c>
      <c r="E501">
        <v>225</v>
      </c>
      <c r="F501">
        <v>9</v>
      </c>
      <c r="G501">
        <v>58</v>
      </c>
      <c r="H501">
        <v>176</v>
      </c>
      <c r="I501" t="s">
        <v>20</v>
      </c>
      <c r="J501">
        <v>184</v>
      </c>
      <c r="K501">
        <v>10672</v>
      </c>
      <c r="L501">
        <v>35</v>
      </c>
      <c r="M501" t="s">
        <v>17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Inventory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2026-10-25T19:43:33Z</dcterms:created>
  <dcterms:modified xsi:type="dcterms:W3CDTF">2026-10-25T22:47:29Z</dcterms:modified>
</cp:coreProperties>
</file>